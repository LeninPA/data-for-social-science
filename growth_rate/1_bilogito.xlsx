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growth_rate/"/>
    </mc:Choice>
  </mc:AlternateContent>
  <xr:revisionPtr revIDLastSave="0" documentId="13_ncr:1_{06DB2DCB-44F1-0144-B64A-70AAEA241735}" xr6:coauthVersionLast="45" xr6:coauthVersionMax="47" xr10:uidLastSave="{00000000-0000-0000-0000-000000000000}"/>
  <bookViews>
    <workbookView xWindow="0" yWindow="500" windowWidth="45260" windowHeight="20860" activeTab="3" xr2:uid="{6605802F-6F3A-415B-9EF1-3DCDC16990EE}"/>
  </bookViews>
  <sheets>
    <sheet name="Bilogito" sheetId="13" r:id="rId1"/>
    <sheet name="Bilogito-valores" sheetId="14" r:id="rId2"/>
    <sheet name="Proyección TGF" sheetId="15" r:id="rId3"/>
    <sheet name="Proyección Bilogito" sheetId="16" r:id="rId4"/>
    <sheet name="CSV" sheetId="17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D80" i="16" l="1"/>
  <c r="CC80" i="16"/>
  <c r="CB80" i="16"/>
  <c r="CA80" i="16"/>
  <c r="BZ80" i="16"/>
  <c r="BY80" i="16"/>
  <c r="BX80" i="16"/>
  <c r="BW80" i="16"/>
  <c r="BV80" i="16"/>
  <c r="BU80" i="16"/>
  <c r="BT80" i="16"/>
  <c r="BS80" i="16"/>
  <c r="BR80" i="16"/>
  <c r="BQ80" i="16"/>
  <c r="BP80" i="16"/>
  <c r="BO80" i="16"/>
  <c r="BN80" i="16"/>
  <c r="BM80" i="16"/>
  <c r="BL80" i="16"/>
  <c r="BK80" i="16"/>
  <c r="BJ80" i="16"/>
  <c r="BI80" i="16"/>
  <c r="BH80" i="16"/>
  <c r="BG80" i="16"/>
  <c r="BF80" i="16"/>
  <c r="BE80" i="16"/>
  <c r="BD80" i="16"/>
  <c r="BC80" i="16"/>
  <c r="BB80" i="16"/>
  <c r="BA80" i="16"/>
  <c r="AZ80" i="16"/>
  <c r="AY80" i="16"/>
  <c r="AX80" i="16"/>
  <c r="AW80" i="16"/>
  <c r="AV80" i="16"/>
  <c r="AU80" i="16"/>
  <c r="AT80" i="16"/>
  <c r="AS80" i="16"/>
  <c r="AR80" i="16"/>
  <c r="AQ80" i="16"/>
  <c r="AP80" i="16"/>
  <c r="AO80" i="16"/>
  <c r="AN80" i="16"/>
  <c r="AM80" i="16"/>
  <c r="AL80" i="16"/>
  <c r="AK80" i="16"/>
  <c r="AJ80" i="16"/>
  <c r="AI80" i="16"/>
  <c r="AH80" i="16"/>
  <c r="AG80" i="16"/>
  <c r="AF80" i="16"/>
  <c r="CD79" i="16"/>
  <c r="CC79" i="16"/>
  <c r="CB79" i="16"/>
  <c r="CA79" i="16"/>
  <c r="BZ79" i="16"/>
  <c r="BY79" i="16"/>
  <c r="BX79" i="16"/>
  <c r="BW79" i="16"/>
  <c r="BV79" i="16"/>
  <c r="BU79" i="16"/>
  <c r="BT79" i="16"/>
  <c r="BS79" i="16"/>
  <c r="BR79" i="16"/>
  <c r="BQ79" i="16"/>
  <c r="BP79" i="16"/>
  <c r="BO79" i="16"/>
  <c r="BN79" i="16"/>
  <c r="BM79" i="16"/>
  <c r="BL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CD78" i="16"/>
  <c r="CC78" i="16"/>
  <c r="CB78" i="16"/>
  <c r="CA78" i="16"/>
  <c r="BZ78" i="16"/>
  <c r="BY78" i="16"/>
  <c r="BX78" i="16"/>
  <c r="BW78" i="16"/>
  <c r="BV78" i="16"/>
  <c r="BU78" i="16"/>
  <c r="BT78" i="16"/>
  <c r="BS78" i="16"/>
  <c r="BR78" i="16"/>
  <c r="BQ78" i="16"/>
  <c r="BP78" i="16"/>
  <c r="BO78" i="16"/>
  <c r="BN78" i="16"/>
  <c r="BM78" i="16"/>
  <c r="BL78" i="16"/>
  <c r="BK78" i="16"/>
  <c r="BJ78" i="16"/>
  <c r="BI78" i="16"/>
  <c r="BH78" i="16"/>
  <c r="BG78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CD77" i="16"/>
  <c r="CC77" i="16"/>
  <c r="CB77" i="16"/>
  <c r="CA77" i="16"/>
  <c r="BZ77" i="16"/>
  <c r="BY77" i="16"/>
  <c r="BX77" i="16"/>
  <c r="BW77" i="16"/>
  <c r="BV77" i="16"/>
  <c r="BU77" i="16"/>
  <c r="BT77" i="16"/>
  <c r="BS77" i="16"/>
  <c r="BR77" i="16"/>
  <c r="BQ77" i="16"/>
  <c r="BP77" i="16"/>
  <c r="BO77" i="16"/>
  <c r="BN77" i="16"/>
  <c r="BM77" i="16"/>
  <c r="BL77" i="16"/>
  <c r="BK77" i="16"/>
  <c r="BJ77" i="16"/>
  <c r="BI77" i="16"/>
  <c r="BH77" i="16"/>
  <c r="BG77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CD76" i="16"/>
  <c r="CC76" i="16"/>
  <c r="CB76" i="16"/>
  <c r="CA76" i="16"/>
  <c r="BZ76" i="16"/>
  <c r="BY76" i="16"/>
  <c r="BX76" i="16"/>
  <c r="BW76" i="16"/>
  <c r="BV76" i="16"/>
  <c r="BU76" i="16"/>
  <c r="BT76" i="16"/>
  <c r="BS76" i="16"/>
  <c r="BR76" i="16"/>
  <c r="BQ76" i="16"/>
  <c r="BP76" i="16"/>
  <c r="BO76" i="16"/>
  <c r="BN76" i="16"/>
  <c r="BM76" i="16"/>
  <c r="BL76" i="16"/>
  <c r="BK76" i="16"/>
  <c r="BJ76" i="16"/>
  <c r="BI76" i="16"/>
  <c r="BH76" i="16"/>
  <c r="BG76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CD75" i="16"/>
  <c r="CC75" i="16"/>
  <c r="CB75" i="16"/>
  <c r="CA75" i="16"/>
  <c r="BZ75" i="16"/>
  <c r="BY75" i="16"/>
  <c r="BX75" i="16"/>
  <c r="BW75" i="16"/>
  <c r="BV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H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CD74" i="16"/>
  <c r="CC74" i="16"/>
  <c r="CB74" i="16"/>
  <c r="CA74" i="16"/>
  <c r="BZ74" i="16"/>
  <c r="BY74" i="16"/>
  <c r="BX74" i="16"/>
  <c r="BW74" i="16"/>
  <c r="BV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5" i="16"/>
  <c r="B76" i="16"/>
  <c r="B77" i="16"/>
  <c r="B78" i="16"/>
  <c r="B79" i="16"/>
  <c r="B80" i="16"/>
  <c r="B7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C68" i="16"/>
  <c r="D68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AG68" i="16"/>
  <c r="AH68" i="16"/>
  <c r="AI68" i="16"/>
  <c r="AJ68" i="16"/>
  <c r="AK68" i="16"/>
  <c r="AL68" i="16"/>
  <c r="AM68" i="16"/>
  <c r="AN68" i="16"/>
  <c r="AO68" i="16"/>
  <c r="AP68" i="16"/>
  <c r="AQ68" i="16"/>
  <c r="AR68" i="16"/>
  <c r="AS68" i="16"/>
  <c r="AT68" i="16"/>
  <c r="AU68" i="16"/>
  <c r="AV68" i="16"/>
  <c r="AW68" i="16"/>
  <c r="AX68" i="16"/>
  <c r="AY68" i="16"/>
  <c r="AZ68" i="16"/>
  <c r="C69" i="16"/>
  <c r="D69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AG69" i="16"/>
  <c r="AH69" i="16"/>
  <c r="AI69" i="16"/>
  <c r="AJ69" i="16"/>
  <c r="AK69" i="16"/>
  <c r="AL69" i="16"/>
  <c r="AM69" i="16"/>
  <c r="AN69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C70" i="16"/>
  <c r="D70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65" i="16"/>
  <c r="B66" i="16"/>
  <c r="B67" i="16"/>
  <c r="B68" i="16"/>
  <c r="B69" i="16"/>
  <c r="B70" i="16"/>
  <c r="B64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C55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C56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58" i="16"/>
  <c r="B54" i="16"/>
  <c r="B55" i="16"/>
  <c r="B56" i="16"/>
  <c r="B57" i="16"/>
  <c r="B53" i="16"/>
  <c r="B52" i="16"/>
  <c r="AZ46" i="16"/>
  <c r="AY46" i="16"/>
  <c r="AX46" i="16"/>
  <c r="AW46" i="16"/>
  <c r="AV46" i="16"/>
  <c r="AU46" i="16"/>
  <c r="AT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30" i="16"/>
  <c r="B31" i="16"/>
  <c r="B32" i="16"/>
  <c r="B33" i="16"/>
  <c r="B34" i="16"/>
  <c r="B29" i="16"/>
  <c r="AE186" i="13" l="1"/>
  <c r="AD186" i="13"/>
  <c r="AC186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O186" i="13"/>
  <c r="N186" i="13"/>
  <c r="M186" i="13"/>
  <c r="L186" i="13"/>
  <c r="K186" i="13"/>
  <c r="J186" i="13"/>
  <c r="I186" i="13"/>
  <c r="H186" i="13"/>
  <c r="G186" i="13"/>
  <c r="F186" i="13"/>
  <c r="E186" i="13"/>
  <c r="D186" i="13"/>
  <c r="C186" i="13"/>
  <c r="B186" i="13"/>
  <c r="AD46" i="13"/>
  <c r="Z46" i="13"/>
  <c r="V46" i="13"/>
  <c r="R46" i="13"/>
  <c r="N46" i="13"/>
  <c r="J46" i="13"/>
  <c r="F46" i="13"/>
  <c r="C40" i="13"/>
  <c r="D40" i="13"/>
  <c r="E40" i="13"/>
  <c r="F40" i="13"/>
  <c r="F41" i="13" s="1"/>
  <c r="G40" i="13"/>
  <c r="H40" i="13"/>
  <c r="I40" i="13"/>
  <c r="J40" i="13"/>
  <c r="J41" i="13" s="1"/>
  <c r="K40" i="13"/>
  <c r="L40" i="13"/>
  <c r="M40" i="13"/>
  <c r="M41" i="13" s="1"/>
  <c r="N40" i="13"/>
  <c r="N41" i="13" s="1"/>
  <c r="O40" i="13"/>
  <c r="P40" i="13"/>
  <c r="Q40" i="13"/>
  <c r="R40" i="13"/>
  <c r="R41" i="13" s="1"/>
  <c r="S40" i="13"/>
  <c r="T40" i="13"/>
  <c r="U40" i="13"/>
  <c r="V40" i="13"/>
  <c r="V41" i="13" s="1"/>
  <c r="W40" i="13"/>
  <c r="X40" i="13"/>
  <c r="Y40" i="13"/>
  <c r="Z40" i="13"/>
  <c r="Z41" i="13" s="1"/>
  <c r="AA40" i="13"/>
  <c r="AB40" i="13"/>
  <c r="AC40" i="13"/>
  <c r="AC41" i="13" s="1"/>
  <c r="AD40" i="13"/>
  <c r="AD41" i="13" s="1"/>
  <c r="AE40" i="13"/>
  <c r="C41" i="13"/>
  <c r="D41" i="13"/>
  <c r="E41" i="13"/>
  <c r="E42" i="13" s="1"/>
  <c r="G41" i="13"/>
  <c r="H41" i="13"/>
  <c r="I41" i="13"/>
  <c r="I42" i="13" s="1"/>
  <c r="K41" i="13"/>
  <c r="O41" i="13"/>
  <c r="P41" i="13"/>
  <c r="S41" i="13"/>
  <c r="T41" i="13"/>
  <c r="U41" i="13"/>
  <c r="U42" i="13" s="1"/>
  <c r="W41" i="13"/>
  <c r="X41" i="13"/>
  <c r="Y41" i="13"/>
  <c r="Y42" i="13" s="1"/>
  <c r="AA41" i="13"/>
  <c r="AE41" i="13"/>
  <c r="C42" i="13"/>
  <c r="G42" i="13"/>
  <c r="G55" i="13" s="1"/>
  <c r="G67" i="13" s="1"/>
  <c r="H42" i="13"/>
  <c r="H43" i="13" s="1"/>
  <c r="K42" i="13"/>
  <c r="K43" i="13" s="1"/>
  <c r="S42" i="13"/>
  <c r="W42" i="13"/>
  <c r="W55" i="13" s="1"/>
  <c r="W67" i="13" s="1"/>
  <c r="X42" i="13"/>
  <c r="X43" i="13" s="1"/>
  <c r="AA42" i="13"/>
  <c r="AA43" i="13" s="1"/>
  <c r="G43" i="13"/>
  <c r="G44" i="13" s="1"/>
  <c r="G45" i="13" s="1"/>
  <c r="W43" i="13"/>
  <c r="W44" i="13" s="1"/>
  <c r="W45" i="13" s="1"/>
  <c r="W58" i="13" s="1"/>
  <c r="W70" i="13" s="1"/>
  <c r="B41" i="13"/>
  <c r="B40" i="13"/>
  <c r="C32" i="13"/>
  <c r="C46" i="13" s="1"/>
  <c r="D32" i="13"/>
  <c r="D46" i="13" s="1"/>
  <c r="E32" i="13"/>
  <c r="E46" i="13" s="1"/>
  <c r="F32" i="13"/>
  <c r="G32" i="13"/>
  <c r="G46" i="13" s="1"/>
  <c r="H32" i="13"/>
  <c r="H46" i="13" s="1"/>
  <c r="H54" i="13" s="1"/>
  <c r="H66" i="13" s="1"/>
  <c r="I32" i="13"/>
  <c r="I46" i="13" s="1"/>
  <c r="I54" i="13" s="1"/>
  <c r="I66" i="13" s="1"/>
  <c r="J32" i="13"/>
  <c r="K32" i="13"/>
  <c r="K46" i="13" s="1"/>
  <c r="L32" i="13"/>
  <c r="L46" i="13" s="1"/>
  <c r="M32" i="13"/>
  <c r="M46" i="13" s="1"/>
  <c r="N32" i="13"/>
  <c r="O32" i="13"/>
  <c r="O46" i="13" s="1"/>
  <c r="P32" i="13"/>
  <c r="P46" i="13" s="1"/>
  <c r="Q32" i="13"/>
  <c r="Q46" i="13" s="1"/>
  <c r="R32" i="13"/>
  <c r="S32" i="13"/>
  <c r="S46" i="13" s="1"/>
  <c r="T32" i="13"/>
  <c r="T46" i="13" s="1"/>
  <c r="U32" i="13"/>
  <c r="U46" i="13" s="1"/>
  <c r="V32" i="13"/>
  <c r="W32" i="13"/>
  <c r="W46" i="13" s="1"/>
  <c r="X32" i="13"/>
  <c r="X46" i="13" s="1"/>
  <c r="X54" i="13" s="1"/>
  <c r="X66" i="13" s="1"/>
  <c r="Y32" i="13"/>
  <c r="Y46" i="13" s="1"/>
  <c r="Y54" i="13" s="1"/>
  <c r="Y66" i="13" s="1"/>
  <c r="Z32" i="13"/>
  <c r="AA32" i="13"/>
  <c r="AA46" i="13" s="1"/>
  <c r="AB32" i="13"/>
  <c r="AB46" i="13" s="1"/>
  <c r="AC32" i="13"/>
  <c r="AC46" i="13" s="1"/>
  <c r="AD32" i="13"/>
  <c r="AE32" i="13"/>
  <c r="AE46" i="13" s="1"/>
  <c r="B32" i="13"/>
  <c r="B33" i="13" s="1"/>
  <c r="B84" i="13" s="1"/>
  <c r="B21" i="13"/>
  <c r="B22" i="13"/>
  <c r="B23" i="13"/>
  <c r="B24" i="13"/>
  <c r="B25" i="13"/>
  <c r="B26" i="13"/>
  <c r="B20" i="13"/>
  <c r="B78" i="13" s="1"/>
  <c r="T54" i="13" l="1"/>
  <c r="T66" i="13" s="1"/>
  <c r="S55" i="13"/>
  <c r="S67" i="13" s="1"/>
  <c r="Y53" i="13"/>
  <c r="Y65" i="13" s="1"/>
  <c r="Q53" i="13"/>
  <c r="Q65" i="13" s="1"/>
  <c r="E53" i="13"/>
  <c r="E65" i="13" s="1"/>
  <c r="B91" i="13"/>
  <c r="B103" i="13" s="1"/>
  <c r="G58" i="13"/>
  <c r="G70" i="13" s="1"/>
  <c r="C55" i="13"/>
  <c r="C67" i="13" s="1"/>
  <c r="D54" i="13"/>
  <c r="D66" i="13" s="1"/>
  <c r="AC42" i="13"/>
  <c r="AC54" i="13"/>
  <c r="AC66" i="13" s="1"/>
  <c r="U53" i="13"/>
  <c r="U65" i="13" s="1"/>
  <c r="M42" i="13"/>
  <c r="M54" i="13"/>
  <c r="M66" i="13" s="1"/>
  <c r="I53" i="13"/>
  <c r="I65" i="13" s="1"/>
  <c r="I114" i="13" s="1"/>
  <c r="AA44" i="13"/>
  <c r="AA56" i="13"/>
  <c r="AA68" i="13" s="1"/>
  <c r="K44" i="13"/>
  <c r="K56" i="13"/>
  <c r="K68" i="13" s="1"/>
  <c r="P54" i="13"/>
  <c r="P66" i="13" s="1"/>
  <c r="U43" i="13"/>
  <c r="U55" i="13"/>
  <c r="U67" i="13" s="1"/>
  <c r="E43" i="13"/>
  <c r="E55" i="13"/>
  <c r="E67" i="13" s="1"/>
  <c r="Z42" i="13"/>
  <c r="Z54" i="13"/>
  <c r="Z66" i="13" s="1"/>
  <c r="R42" i="13"/>
  <c r="R54" i="13"/>
  <c r="R66" i="13" s="1"/>
  <c r="J42" i="13"/>
  <c r="J54" i="13"/>
  <c r="J66" i="13" s="1"/>
  <c r="B46" i="13"/>
  <c r="B54" i="13" s="1"/>
  <c r="B66" i="13" s="1"/>
  <c r="G56" i="13"/>
  <c r="G68" i="13" s="1"/>
  <c r="V53" i="13"/>
  <c r="V65" i="13" s="1"/>
  <c r="N53" i="13"/>
  <c r="N65" i="13" s="1"/>
  <c r="B42" i="13"/>
  <c r="S43" i="13"/>
  <c r="X44" i="13"/>
  <c r="X56" i="13"/>
  <c r="X68" i="13" s="1"/>
  <c r="H44" i="13"/>
  <c r="H56" i="13"/>
  <c r="H68" i="13" s="1"/>
  <c r="Y43" i="13"/>
  <c r="Y55" i="13"/>
  <c r="Y67" i="13" s="1"/>
  <c r="I43" i="13"/>
  <c r="I55" i="13"/>
  <c r="I67" i="13" s="1"/>
  <c r="W57" i="13"/>
  <c r="W69" i="13" s="1"/>
  <c r="G57" i="13"/>
  <c r="G69" i="13" s="1"/>
  <c r="AA55" i="13"/>
  <c r="AA67" i="13" s="1"/>
  <c r="K55" i="13"/>
  <c r="K67" i="13" s="1"/>
  <c r="L53" i="13"/>
  <c r="L65" i="13" s="1"/>
  <c r="H53" i="13"/>
  <c r="H65" i="13" s="1"/>
  <c r="H114" i="13" s="1"/>
  <c r="D53" i="13"/>
  <c r="D65" i="13" s="1"/>
  <c r="X55" i="13"/>
  <c r="X67" i="13" s="1"/>
  <c r="H55" i="13"/>
  <c r="H67" i="13" s="1"/>
  <c r="U54" i="13"/>
  <c r="U66" i="13" s="1"/>
  <c r="E54" i="13"/>
  <c r="E66" i="13" s="1"/>
  <c r="Z53" i="13"/>
  <c r="Z65" i="13" s="1"/>
  <c r="R53" i="13"/>
  <c r="R65" i="13" s="1"/>
  <c r="J53" i="13"/>
  <c r="J65" i="13" s="1"/>
  <c r="AA54" i="13"/>
  <c r="AA66" i="13" s="1"/>
  <c r="K54" i="13"/>
  <c r="K66" i="13" s="1"/>
  <c r="AD42" i="13"/>
  <c r="AD54" i="13"/>
  <c r="AD66" i="13" s="1"/>
  <c r="V42" i="13"/>
  <c r="V54" i="13"/>
  <c r="V66" i="13" s="1"/>
  <c r="N42" i="13"/>
  <c r="N54" i="13"/>
  <c r="N66" i="13" s="1"/>
  <c r="F42" i="13"/>
  <c r="F54" i="13"/>
  <c r="F66" i="13" s="1"/>
  <c r="W56" i="13"/>
  <c r="W68" i="13" s="1"/>
  <c r="W115" i="13" s="1"/>
  <c r="AD53" i="13"/>
  <c r="AD65" i="13" s="1"/>
  <c r="F53" i="13"/>
  <c r="F65" i="13" s="1"/>
  <c r="C43" i="13"/>
  <c r="P42" i="13"/>
  <c r="AE54" i="13"/>
  <c r="AE66" i="13" s="1"/>
  <c r="O54" i="13"/>
  <c r="O66" i="13" s="1"/>
  <c r="AC53" i="13"/>
  <c r="AC65" i="13" s="1"/>
  <c r="M53" i="13"/>
  <c r="M65" i="13" s="1"/>
  <c r="AE42" i="13"/>
  <c r="O42" i="13"/>
  <c r="S54" i="13"/>
  <c r="S66" i="13" s="1"/>
  <c r="C54" i="13"/>
  <c r="C66" i="13" s="1"/>
  <c r="AB53" i="13"/>
  <c r="AB65" i="13" s="1"/>
  <c r="X53" i="13"/>
  <c r="X65" i="13" s="1"/>
  <c r="T53" i="13"/>
  <c r="T65" i="13" s="1"/>
  <c r="P53" i="13"/>
  <c r="P65" i="13" s="1"/>
  <c r="B79" i="13"/>
  <c r="T42" i="13"/>
  <c r="D42" i="13"/>
  <c r="AB41" i="13"/>
  <c r="W54" i="13"/>
  <c r="W66" i="13" s="1"/>
  <c r="Q41" i="13"/>
  <c r="L41" i="13"/>
  <c r="G54" i="13"/>
  <c r="G66" i="13" s="1"/>
  <c r="AE53" i="13"/>
  <c r="AE65" i="13" s="1"/>
  <c r="AA53" i="13"/>
  <c r="AA65" i="13" s="1"/>
  <c r="AA114" i="13" s="1"/>
  <c r="W53" i="13"/>
  <c r="W65" i="13" s="1"/>
  <c r="S53" i="13"/>
  <c r="S65" i="13" s="1"/>
  <c r="S114" i="13" s="1"/>
  <c r="O53" i="13"/>
  <c r="O65" i="13" s="1"/>
  <c r="K53" i="13"/>
  <c r="K65" i="13" s="1"/>
  <c r="G53" i="13"/>
  <c r="G65" i="13" s="1"/>
  <c r="C53" i="13"/>
  <c r="C65" i="13" s="1"/>
  <c r="C114" i="13" s="1"/>
  <c r="B13" i="16"/>
  <c r="B12" i="16"/>
  <c r="B11" i="16"/>
  <c r="B10" i="16"/>
  <c r="B9" i="16"/>
  <c r="B8" i="16"/>
  <c r="A2" i="15" a="1"/>
  <c r="A2" i="15" s="1"/>
  <c r="B2" i="15" a="1"/>
  <c r="B2" i="15" s="1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B80" i="13" l="1"/>
  <c r="B92" i="13"/>
  <c r="B104" i="13" s="1"/>
  <c r="AE55" i="13"/>
  <c r="AE67" i="13" s="1"/>
  <c r="AE114" i="13" s="1"/>
  <c r="AE43" i="13"/>
  <c r="P114" i="13"/>
  <c r="P43" i="13"/>
  <c r="P55" i="13"/>
  <c r="P67" i="13" s="1"/>
  <c r="R114" i="13"/>
  <c r="Y44" i="13"/>
  <c r="Y56" i="13"/>
  <c r="Y68" i="13" s="1"/>
  <c r="X45" i="13"/>
  <c r="X58" i="13" s="1"/>
  <c r="X70" i="13" s="1"/>
  <c r="X57" i="13"/>
  <c r="X69" i="13" s="1"/>
  <c r="X115" i="13" s="1"/>
  <c r="J43" i="13"/>
  <c r="J55" i="13"/>
  <c r="J67" i="13" s="1"/>
  <c r="J114" i="13" s="1"/>
  <c r="Z43" i="13"/>
  <c r="Z55" i="13"/>
  <c r="Z67" i="13" s="1"/>
  <c r="Z114" i="13" s="1"/>
  <c r="U44" i="13"/>
  <c r="U56" i="13"/>
  <c r="U68" i="13" s="1"/>
  <c r="G114" i="13"/>
  <c r="L54" i="13"/>
  <c r="L66" i="13" s="1"/>
  <c r="L42" i="13"/>
  <c r="D43" i="13"/>
  <c r="D55" i="13"/>
  <c r="D67" i="13" s="1"/>
  <c r="D114" i="13" s="1"/>
  <c r="G115" i="13"/>
  <c r="AA45" i="13"/>
  <c r="AA58" i="13" s="1"/>
  <c r="AA70" i="13" s="1"/>
  <c r="AA57" i="13"/>
  <c r="AA69" i="13" s="1"/>
  <c r="M43" i="13"/>
  <c r="M55" i="13"/>
  <c r="M67" i="13" s="1"/>
  <c r="M114" i="13" s="1"/>
  <c r="E114" i="13"/>
  <c r="K45" i="13"/>
  <c r="K58" i="13" s="1"/>
  <c r="K70" i="13" s="1"/>
  <c r="K57" i="13"/>
  <c r="K69" i="13" s="1"/>
  <c r="Y114" i="13"/>
  <c r="AB54" i="13"/>
  <c r="AB66" i="13" s="1"/>
  <c r="AB42" i="13"/>
  <c r="N43" i="13"/>
  <c r="N55" i="13"/>
  <c r="N67" i="13" s="1"/>
  <c r="N114" i="13" s="1"/>
  <c r="AD43" i="13"/>
  <c r="AD55" i="13"/>
  <c r="AD67" i="13" s="1"/>
  <c r="AD114" i="13" s="1"/>
  <c r="AA115" i="13"/>
  <c r="AC43" i="13"/>
  <c r="AC55" i="13"/>
  <c r="AC67" i="13" s="1"/>
  <c r="AC114" i="13" s="1"/>
  <c r="W114" i="13"/>
  <c r="C44" i="13"/>
  <c r="C56" i="13"/>
  <c r="C68" i="13" s="1"/>
  <c r="S44" i="13"/>
  <c r="S56" i="13"/>
  <c r="S68" i="13" s="1"/>
  <c r="K114" i="13"/>
  <c r="Q42" i="13"/>
  <c r="Q54" i="13"/>
  <c r="Q66" i="13" s="1"/>
  <c r="T43" i="13"/>
  <c r="T55" i="13"/>
  <c r="T67" i="13" s="1"/>
  <c r="T114" i="13" s="1"/>
  <c r="X114" i="13"/>
  <c r="O55" i="13"/>
  <c r="O67" i="13" s="1"/>
  <c r="O114" i="13" s="1"/>
  <c r="O43" i="13"/>
  <c r="F114" i="13"/>
  <c r="F43" i="13"/>
  <c r="F55" i="13"/>
  <c r="F67" i="13" s="1"/>
  <c r="V43" i="13"/>
  <c r="V55" i="13"/>
  <c r="V67" i="13" s="1"/>
  <c r="V114" i="13" s="1"/>
  <c r="I44" i="13"/>
  <c r="I56" i="13"/>
  <c r="I68" i="13" s="1"/>
  <c r="H45" i="13"/>
  <c r="H58" i="13" s="1"/>
  <c r="H70" i="13" s="1"/>
  <c r="H115" i="13" s="1"/>
  <c r="H57" i="13"/>
  <c r="H69" i="13" s="1"/>
  <c r="B43" i="13"/>
  <c r="B55" i="13"/>
  <c r="B67" i="13" s="1"/>
  <c r="R43" i="13"/>
  <c r="R55" i="13"/>
  <c r="R67" i="13" s="1"/>
  <c r="E44" i="13"/>
  <c r="E56" i="13"/>
  <c r="E68" i="13" s="1"/>
  <c r="K115" i="13"/>
  <c r="B53" i="13"/>
  <c r="B65" i="13" s="1"/>
  <c r="U114" i="13"/>
  <c r="C45" i="13" l="1"/>
  <c r="C58" i="13" s="1"/>
  <c r="C70" i="13" s="1"/>
  <c r="C57" i="13"/>
  <c r="C69" i="13" s="1"/>
  <c r="O44" i="13"/>
  <c r="O56" i="13"/>
  <c r="O68" i="13" s="1"/>
  <c r="AD44" i="13"/>
  <c r="AD56" i="13"/>
  <c r="AD68" i="13" s="1"/>
  <c r="M44" i="13"/>
  <c r="M56" i="13"/>
  <c r="M68" i="13" s="1"/>
  <c r="D44" i="13"/>
  <c r="D56" i="13"/>
  <c r="D68" i="13" s="1"/>
  <c r="Z44" i="13"/>
  <c r="Z56" i="13"/>
  <c r="Z68" i="13" s="1"/>
  <c r="R44" i="13"/>
  <c r="R56" i="13"/>
  <c r="R68" i="13" s="1"/>
  <c r="V44" i="13"/>
  <c r="V56" i="13"/>
  <c r="V68" i="13" s="1"/>
  <c r="T44" i="13"/>
  <c r="T56" i="13"/>
  <c r="T68" i="13" s="1"/>
  <c r="B44" i="13"/>
  <c r="B56" i="13"/>
  <c r="B68" i="13" s="1"/>
  <c r="I45" i="13"/>
  <c r="I58" i="13" s="1"/>
  <c r="I70" i="13" s="1"/>
  <c r="I57" i="13"/>
  <c r="I69" i="13" s="1"/>
  <c r="I115" i="13" s="1"/>
  <c r="L43" i="13"/>
  <c r="L55" i="13"/>
  <c r="L67" i="13" s="1"/>
  <c r="L114" i="13" s="1"/>
  <c r="P44" i="13"/>
  <c r="P56" i="13"/>
  <c r="P68" i="13" s="1"/>
  <c r="B81" i="13"/>
  <c r="B93" i="13"/>
  <c r="B105" i="13" s="1"/>
  <c r="B116" i="13" s="1"/>
  <c r="AC44" i="13"/>
  <c r="AC56" i="13"/>
  <c r="AC68" i="13" s="1"/>
  <c r="AB43" i="13"/>
  <c r="AB55" i="13"/>
  <c r="AB67" i="13" s="1"/>
  <c r="AB114" i="13" s="1"/>
  <c r="E45" i="13"/>
  <c r="E58" i="13" s="1"/>
  <c r="E70" i="13" s="1"/>
  <c r="E57" i="13"/>
  <c r="E69" i="13" s="1"/>
  <c r="E115" i="13" s="1"/>
  <c r="S45" i="13"/>
  <c r="S58" i="13" s="1"/>
  <c r="S70" i="13" s="1"/>
  <c r="S115" i="13" s="1"/>
  <c r="S57" i="13"/>
  <c r="S69" i="13" s="1"/>
  <c r="B114" i="13"/>
  <c r="F44" i="13"/>
  <c r="F56" i="13"/>
  <c r="F68" i="13" s="1"/>
  <c r="Q43" i="13"/>
  <c r="Q55" i="13"/>
  <c r="Q67" i="13" s="1"/>
  <c r="Q114" i="13" s="1"/>
  <c r="C115" i="13"/>
  <c r="N44" i="13"/>
  <c r="N56" i="13"/>
  <c r="N68" i="13" s="1"/>
  <c r="U45" i="13"/>
  <c r="U58" i="13" s="1"/>
  <c r="U70" i="13" s="1"/>
  <c r="U57" i="13"/>
  <c r="U69" i="13" s="1"/>
  <c r="U115" i="13" s="1"/>
  <c r="J44" i="13"/>
  <c r="J56" i="13"/>
  <c r="J68" i="13" s="1"/>
  <c r="Y45" i="13"/>
  <c r="Y58" i="13" s="1"/>
  <c r="Y70" i="13" s="1"/>
  <c r="Y57" i="13"/>
  <c r="Y69" i="13" s="1"/>
  <c r="Y115" i="13" s="1"/>
  <c r="AE44" i="13"/>
  <c r="AE56" i="13"/>
  <c r="AE68" i="13" s="1"/>
  <c r="AB44" i="13" l="1"/>
  <c r="AB56" i="13"/>
  <c r="AB68" i="13" s="1"/>
  <c r="F45" i="13"/>
  <c r="F58" i="13" s="1"/>
  <c r="F70" i="13" s="1"/>
  <c r="F57" i="13"/>
  <c r="F69" i="13" s="1"/>
  <c r="F115" i="13" s="1"/>
  <c r="P115" i="13"/>
  <c r="R45" i="13"/>
  <c r="R58" i="13" s="1"/>
  <c r="R70" i="13" s="1"/>
  <c r="R57" i="13"/>
  <c r="R69" i="13" s="1"/>
  <c r="R115" i="13" s="1"/>
  <c r="D45" i="13"/>
  <c r="D58" i="13" s="1"/>
  <c r="D70" i="13" s="1"/>
  <c r="D57" i="13"/>
  <c r="D69" i="13" s="1"/>
  <c r="D115" i="13" s="1"/>
  <c r="AD45" i="13"/>
  <c r="AD58" i="13" s="1"/>
  <c r="AD70" i="13" s="1"/>
  <c r="AD57" i="13"/>
  <c r="AD69" i="13" s="1"/>
  <c r="AD115" i="13" s="1"/>
  <c r="T45" i="13"/>
  <c r="T58" i="13" s="1"/>
  <c r="T70" i="13" s="1"/>
  <c r="T57" i="13"/>
  <c r="T69" i="13" s="1"/>
  <c r="T115" i="13" s="1"/>
  <c r="O45" i="13"/>
  <c r="O58" i="13" s="1"/>
  <c r="O70" i="13" s="1"/>
  <c r="O57" i="13"/>
  <c r="O69" i="13" s="1"/>
  <c r="O115" i="13" s="1"/>
  <c r="Q44" i="13"/>
  <c r="Q56" i="13"/>
  <c r="Q68" i="13" s="1"/>
  <c r="P45" i="13"/>
  <c r="P58" i="13" s="1"/>
  <c r="P70" i="13" s="1"/>
  <c r="P57" i="13"/>
  <c r="P69" i="13" s="1"/>
  <c r="L44" i="13"/>
  <c r="L56" i="13"/>
  <c r="L68" i="13" s="1"/>
  <c r="B45" i="13"/>
  <c r="B58" i="13" s="1"/>
  <c r="B70" i="13" s="1"/>
  <c r="B57" i="13"/>
  <c r="B69" i="13" s="1"/>
  <c r="B115" i="13" s="1"/>
  <c r="V45" i="13"/>
  <c r="V58" i="13" s="1"/>
  <c r="V70" i="13" s="1"/>
  <c r="V115" i="13" s="1"/>
  <c r="V57" i="13"/>
  <c r="V69" i="13" s="1"/>
  <c r="B82" i="13"/>
  <c r="B94" i="13"/>
  <c r="B106" i="13" s="1"/>
  <c r="AC45" i="13"/>
  <c r="AC58" i="13" s="1"/>
  <c r="AC70" i="13" s="1"/>
  <c r="AC57" i="13"/>
  <c r="AC69" i="13" s="1"/>
  <c r="AC115" i="13" s="1"/>
  <c r="AE45" i="13"/>
  <c r="AE58" i="13" s="1"/>
  <c r="AE70" i="13" s="1"/>
  <c r="AE57" i="13"/>
  <c r="AE69" i="13" s="1"/>
  <c r="AE115" i="13" s="1"/>
  <c r="J45" i="13"/>
  <c r="J58" i="13" s="1"/>
  <c r="J70" i="13" s="1"/>
  <c r="J57" i="13"/>
  <c r="J69" i="13" s="1"/>
  <c r="J115" i="13" s="1"/>
  <c r="N45" i="13"/>
  <c r="N58" i="13" s="1"/>
  <c r="N70" i="13" s="1"/>
  <c r="N57" i="13"/>
  <c r="N69" i="13" s="1"/>
  <c r="N115" i="13" s="1"/>
  <c r="Z45" i="13"/>
  <c r="Z58" i="13" s="1"/>
  <c r="Z70" i="13" s="1"/>
  <c r="Z57" i="13"/>
  <c r="Z69" i="13" s="1"/>
  <c r="Z115" i="13" s="1"/>
  <c r="M45" i="13"/>
  <c r="M58" i="13" s="1"/>
  <c r="M70" i="13" s="1"/>
  <c r="M115" i="13" s="1"/>
  <c r="M57" i="13"/>
  <c r="M69" i="13" s="1"/>
  <c r="B83" i="13" l="1"/>
  <c r="B96" i="13" s="1"/>
  <c r="B108" i="13" s="1"/>
  <c r="B95" i="13"/>
  <c r="B107" i="13" s="1"/>
  <c r="B117" i="13" s="1"/>
  <c r="L45" i="13"/>
  <c r="L58" i="13" s="1"/>
  <c r="L70" i="13" s="1"/>
  <c r="L57" i="13"/>
  <c r="L69" i="13" s="1"/>
  <c r="Q45" i="13"/>
  <c r="Q58" i="13" s="1"/>
  <c r="Q70" i="13" s="1"/>
  <c r="Q115" i="13" s="1"/>
  <c r="Q57" i="13"/>
  <c r="Q69" i="13" s="1"/>
  <c r="AB45" i="13"/>
  <c r="AB58" i="13" s="1"/>
  <c r="AB70" i="13" s="1"/>
  <c r="AB57" i="13"/>
  <c r="AB69" i="13" s="1"/>
  <c r="AB115" i="13" s="1"/>
  <c r="AB123" i="13" s="1"/>
  <c r="AB124" i="13" s="1"/>
  <c r="L115" i="13"/>
  <c r="AB148" i="13" l="1"/>
  <c r="AB160" i="13" s="1"/>
  <c r="AB144" i="13"/>
  <c r="AB156" i="13" s="1"/>
  <c r="AB167" i="13" s="1"/>
  <c r="AB179" i="13" s="1"/>
  <c r="AB146" i="13"/>
  <c r="AB158" i="13" s="1"/>
  <c r="AB145" i="13"/>
  <c r="AB157" i="13" s="1"/>
  <c r="AB168" i="13" s="1"/>
  <c r="AB180" i="13" s="1"/>
  <c r="AB149" i="13"/>
  <c r="AB161" i="13" s="1"/>
  <c r="AB147" i="13"/>
  <c r="AB159" i="13" s="1"/>
  <c r="W123" i="13"/>
  <c r="W124" i="13" s="1"/>
  <c r="H123" i="13"/>
  <c r="H124" i="13" s="1"/>
  <c r="X123" i="13"/>
  <c r="X124" i="13" s="1"/>
  <c r="AA123" i="13"/>
  <c r="AA124" i="13" s="1"/>
  <c r="K123" i="13"/>
  <c r="K124" i="13" s="1"/>
  <c r="G123" i="13"/>
  <c r="G124" i="13" s="1"/>
  <c r="Y123" i="13"/>
  <c r="Y124" i="13" s="1"/>
  <c r="E123" i="13"/>
  <c r="E124" i="13" s="1"/>
  <c r="C123" i="13"/>
  <c r="C124" i="13" s="1"/>
  <c r="S123" i="13"/>
  <c r="S124" i="13" s="1"/>
  <c r="U123" i="13"/>
  <c r="U124" i="13" s="1"/>
  <c r="I123" i="13"/>
  <c r="I124" i="13" s="1"/>
  <c r="V123" i="13"/>
  <c r="V124" i="13" s="1"/>
  <c r="O123" i="13"/>
  <c r="O124" i="13" s="1"/>
  <c r="N123" i="13"/>
  <c r="N124" i="13" s="1"/>
  <c r="T123" i="13"/>
  <c r="T124" i="13" s="1"/>
  <c r="AC123" i="13"/>
  <c r="AC124" i="13" s="1"/>
  <c r="F123" i="13"/>
  <c r="F124" i="13" s="1"/>
  <c r="AD123" i="13"/>
  <c r="AD124" i="13" s="1"/>
  <c r="Z123" i="13"/>
  <c r="Z124" i="13" s="1"/>
  <c r="D123" i="13"/>
  <c r="D124" i="13" s="1"/>
  <c r="AE123" i="13"/>
  <c r="AE124" i="13" s="1"/>
  <c r="R123" i="13"/>
  <c r="R124" i="13" s="1"/>
  <c r="J123" i="13"/>
  <c r="J124" i="13" s="1"/>
  <c r="B123" i="13"/>
  <c r="B124" i="13" s="1"/>
  <c r="M123" i="13"/>
  <c r="M124" i="13" s="1"/>
  <c r="P123" i="13"/>
  <c r="P124" i="13" s="1"/>
  <c r="Q123" i="13"/>
  <c r="Q124" i="13" s="1"/>
  <c r="L123" i="13"/>
  <c r="L124" i="13" s="1"/>
  <c r="M147" i="13" l="1"/>
  <c r="M159" i="13" s="1"/>
  <c r="M148" i="13"/>
  <c r="M160" i="13" s="1"/>
  <c r="M171" i="13" s="1"/>
  <c r="M183" i="13" s="1"/>
  <c r="M146" i="13"/>
  <c r="M158" i="13" s="1"/>
  <c r="M145" i="13"/>
  <c r="M157" i="13" s="1"/>
  <c r="M168" i="13" s="1"/>
  <c r="M180" i="13" s="1"/>
  <c r="M144" i="13"/>
  <c r="M156" i="13" s="1"/>
  <c r="M167" i="13" s="1"/>
  <c r="M179" i="13" s="1"/>
  <c r="M149" i="13"/>
  <c r="M161" i="13" s="1"/>
  <c r="O149" i="13"/>
  <c r="O161" i="13" s="1"/>
  <c r="O145" i="13"/>
  <c r="O157" i="13" s="1"/>
  <c r="O168" i="13" s="1"/>
  <c r="O180" i="13" s="1"/>
  <c r="O147" i="13"/>
  <c r="O159" i="13" s="1"/>
  <c r="O144" i="13"/>
  <c r="O156" i="13" s="1"/>
  <c r="O167" i="13" s="1"/>
  <c r="O179" i="13" s="1"/>
  <c r="O148" i="13"/>
  <c r="O160" i="13" s="1"/>
  <c r="O146" i="13"/>
  <c r="O158" i="13" s="1"/>
  <c r="O169" i="13" s="1"/>
  <c r="O181" i="13" s="1"/>
  <c r="G149" i="13"/>
  <c r="G161" i="13" s="1"/>
  <c r="G145" i="13"/>
  <c r="G157" i="13" s="1"/>
  <c r="G148" i="13"/>
  <c r="G160" i="13" s="1"/>
  <c r="G146" i="13"/>
  <c r="G158" i="13" s="1"/>
  <c r="G169" i="13" s="1"/>
  <c r="G181" i="13" s="1"/>
  <c r="G147" i="13"/>
  <c r="G159" i="13" s="1"/>
  <c r="G144" i="13"/>
  <c r="G156" i="13" s="1"/>
  <c r="G167" i="13" s="1"/>
  <c r="G179" i="13" s="1"/>
  <c r="D148" i="13"/>
  <c r="D160" i="13" s="1"/>
  <c r="D144" i="13"/>
  <c r="D156" i="13" s="1"/>
  <c r="D167" i="13" s="1"/>
  <c r="D179" i="13" s="1"/>
  <c r="D147" i="13"/>
  <c r="D159" i="13" s="1"/>
  <c r="D170" i="13" s="1"/>
  <c r="D182" i="13" s="1"/>
  <c r="D149" i="13"/>
  <c r="D161" i="13" s="1"/>
  <c r="D146" i="13"/>
  <c r="D158" i="13" s="1"/>
  <c r="D145" i="13"/>
  <c r="D157" i="13" s="1"/>
  <c r="D168" i="13" s="1"/>
  <c r="D180" i="13" s="1"/>
  <c r="AB169" i="13"/>
  <c r="AB181" i="13" s="1"/>
  <c r="F146" i="13"/>
  <c r="F158" i="13" s="1"/>
  <c r="F147" i="13"/>
  <c r="F159" i="13" s="1"/>
  <c r="F170" i="13" s="1"/>
  <c r="F182" i="13" s="1"/>
  <c r="F145" i="13"/>
  <c r="F157" i="13" s="1"/>
  <c r="F168" i="13" s="1"/>
  <c r="F180" i="13" s="1"/>
  <c r="F144" i="13"/>
  <c r="F156" i="13" s="1"/>
  <c r="F167" i="13" s="1"/>
  <c r="F179" i="13" s="1"/>
  <c r="F149" i="13"/>
  <c r="F161" i="13" s="1"/>
  <c r="F148" i="13"/>
  <c r="F160" i="13" s="1"/>
  <c r="F171" i="13" s="1"/>
  <c r="F183" i="13" s="1"/>
  <c r="B147" i="13"/>
  <c r="B159" i="13" s="1"/>
  <c r="B170" i="13" s="1"/>
  <c r="B182" i="13" s="1"/>
  <c r="B148" i="13"/>
  <c r="B160" i="13" s="1"/>
  <c r="B149" i="13"/>
  <c r="B161" i="13" s="1"/>
  <c r="B145" i="13"/>
  <c r="B157" i="13" s="1"/>
  <c r="B144" i="13"/>
  <c r="B156" i="13" s="1"/>
  <c r="B167" i="13" s="1"/>
  <c r="B179" i="13" s="1"/>
  <c r="B146" i="13"/>
  <c r="B158" i="13" s="1"/>
  <c r="B169" i="13" s="1"/>
  <c r="B181" i="13" s="1"/>
  <c r="V146" i="13"/>
  <c r="V158" i="13" s="1"/>
  <c r="V145" i="13"/>
  <c r="V157" i="13" s="1"/>
  <c r="V149" i="13"/>
  <c r="V161" i="13" s="1"/>
  <c r="V148" i="13"/>
  <c r="V160" i="13" s="1"/>
  <c r="V171" i="13" s="1"/>
  <c r="V183" i="13" s="1"/>
  <c r="V147" i="13"/>
  <c r="V159" i="13" s="1"/>
  <c r="V170" i="13" s="1"/>
  <c r="V182" i="13" s="1"/>
  <c r="V144" i="13"/>
  <c r="V156" i="13" s="1"/>
  <c r="V167" i="13" s="1"/>
  <c r="V179" i="13" s="1"/>
  <c r="K149" i="13"/>
  <c r="K161" i="13" s="1"/>
  <c r="K145" i="13"/>
  <c r="K157" i="13" s="1"/>
  <c r="K148" i="13"/>
  <c r="K160" i="13" s="1"/>
  <c r="K147" i="13"/>
  <c r="K159" i="13" s="1"/>
  <c r="K146" i="13"/>
  <c r="K158" i="13" s="1"/>
  <c r="K169" i="13" s="1"/>
  <c r="K181" i="13" s="1"/>
  <c r="K144" i="13"/>
  <c r="K156" i="13" s="1"/>
  <c r="K167" i="13" s="1"/>
  <c r="K179" i="13" s="1"/>
  <c r="Q147" i="13"/>
  <c r="Q159" i="13" s="1"/>
  <c r="Q146" i="13"/>
  <c r="Q158" i="13" s="1"/>
  <c r="Q169" i="13" s="1"/>
  <c r="Q181" i="13" s="1"/>
  <c r="Q149" i="13"/>
  <c r="Q161" i="13" s="1"/>
  <c r="Q148" i="13"/>
  <c r="Q160" i="13" s="1"/>
  <c r="Q171" i="13" s="1"/>
  <c r="Q183" i="13" s="1"/>
  <c r="Q145" i="13"/>
  <c r="Q157" i="13" s="1"/>
  <c r="Q144" i="13"/>
  <c r="Q156" i="13" s="1"/>
  <c r="Q167" i="13" s="1"/>
  <c r="Q179" i="13" s="1"/>
  <c r="Z146" i="13"/>
  <c r="Z158" i="13" s="1"/>
  <c r="Z169" i="13" s="1"/>
  <c r="Z181" i="13" s="1"/>
  <c r="Z149" i="13"/>
  <c r="Z161" i="13" s="1"/>
  <c r="Z147" i="13"/>
  <c r="Z159" i="13" s="1"/>
  <c r="Z148" i="13"/>
  <c r="Z160" i="13" s="1"/>
  <c r="Z171" i="13" s="1"/>
  <c r="Z183" i="13" s="1"/>
  <c r="Z144" i="13"/>
  <c r="Z156" i="13" s="1"/>
  <c r="Z167" i="13" s="1"/>
  <c r="Z179" i="13" s="1"/>
  <c r="Z145" i="13"/>
  <c r="Z157" i="13" s="1"/>
  <c r="I147" i="13"/>
  <c r="I159" i="13" s="1"/>
  <c r="I149" i="13"/>
  <c r="I161" i="13" s="1"/>
  <c r="I144" i="13"/>
  <c r="I156" i="13" s="1"/>
  <c r="I167" i="13" s="1"/>
  <c r="I179" i="13" s="1"/>
  <c r="I148" i="13"/>
  <c r="I160" i="13" s="1"/>
  <c r="I171" i="13" s="1"/>
  <c r="I183" i="13" s="1"/>
  <c r="I146" i="13"/>
  <c r="I158" i="13" s="1"/>
  <c r="I145" i="13"/>
  <c r="I157" i="13" s="1"/>
  <c r="E147" i="13"/>
  <c r="E159" i="13" s="1"/>
  <c r="E170" i="13" s="1"/>
  <c r="E182" i="13" s="1"/>
  <c r="E149" i="13"/>
  <c r="E161" i="13" s="1"/>
  <c r="E148" i="13"/>
  <c r="E160" i="13" s="1"/>
  <c r="E146" i="13"/>
  <c r="E158" i="13" s="1"/>
  <c r="E169" i="13" s="1"/>
  <c r="E181" i="13" s="1"/>
  <c r="E144" i="13"/>
  <c r="E156" i="13" s="1"/>
  <c r="E167" i="13" s="1"/>
  <c r="E179" i="13" s="1"/>
  <c r="E145" i="13"/>
  <c r="E157" i="13" s="1"/>
  <c r="AA149" i="13"/>
  <c r="AA161" i="13" s="1"/>
  <c r="AA145" i="13"/>
  <c r="AA157" i="13" s="1"/>
  <c r="AA147" i="13"/>
  <c r="AA159" i="13" s="1"/>
  <c r="AA170" i="13" s="1"/>
  <c r="AA182" i="13" s="1"/>
  <c r="AA146" i="13"/>
  <c r="AA158" i="13" s="1"/>
  <c r="AA148" i="13"/>
  <c r="AA160" i="13" s="1"/>
  <c r="AA144" i="13"/>
  <c r="AA156" i="13" s="1"/>
  <c r="AA167" i="13" s="1"/>
  <c r="AA179" i="13" s="1"/>
  <c r="AB170" i="13"/>
  <c r="AB182" i="13" s="1"/>
  <c r="AE149" i="13"/>
  <c r="AE161" i="13" s="1"/>
  <c r="AE145" i="13"/>
  <c r="AE157" i="13" s="1"/>
  <c r="AE147" i="13"/>
  <c r="AE159" i="13" s="1"/>
  <c r="AE170" i="13" s="1"/>
  <c r="AE182" i="13" s="1"/>
  <c r="AE144" i="13"/>
  <c r="AE156" i="13" s="1"/>
  <c r="AE167" i="13" s="1"/>
  <c r="AE179" i="13" s="1"/>
  <c r="AE148" i="13"/>
  <c r="AE160" i="13" s="1"/>
  <c r="AE146" i="13"/>
  <c r="AE158" i="13" s="1"/>
  <c r="AE169" i="13" s="1"/>
  <c r="AE181" i="13" s="1"/>
  <c r="S149" i="13"/>
  <c r="S161" i="13" s="1"/>
  <c r="S145" i="13"/>
  <c r="S157" i="13" s="1"/>
  <c r="S148" i="13"/>
  <c r="S160" i="13" s="1"/>
  <c r="S171" i="13" s="1"/>
  <c r="S183" i="13" s="1"/>
  <c r="S147" i="13"/>
  <c r="S159" i="13" s="1"/>
  <c r="S146" i="13"/>
  <c r="S158" i="13" s="1"/>
  <c r="S144" i="13"/>
  <c r="S156" i="13" s="1"/>
  <c r="S167" i="13" s="1"/>
  <c r="S179" i="13" s="1"/>
  <c r="H148" i="13"/>
  <c r="H160" i="13" s="1"/>
  <c r="H144" i="13"/>
  <c r="H156" i="13" s="1"/>
  <c r="H167" i="13" s="1"/>
  <c r="H179" i="13" s="1"/>
  <c r="H145" i="13"/>
  <c r="H157" i="13" s="1"/>
  <c r="H168" i="13" s="1"/>
  <c r="H180" i="13" s="1"/>
  <c r="H149" i="13"/>
  <c r="H161" i="13" s="1"/>
  <c r="H147" i="13"/>
  <c r="H159" i="13" s="1"/>
  <c r="H170" i="13" s="1"/>
  <c r="H182" i="13" s="1"/>
  <c r="H146" i="13"/>
  <c r="H158" i="13" s="1"/>
  <c r="L148" i="13"/>
  <c r="L160" i="13" s="1"/>
  <c r="L144" i="13"/>
  <c r="L156" i="13" s="1"/>
  <c r="L167" i="13" s="1"/>
  <c r="L179" i="13" s="1"/>
  <c r="L146" i="13"/>
  <c r="L158" i="13" s="1"/>
  <c r="L149" i="13"/>
  <c r="L161" i="13" s="1"/>
  <c r="L147" i="13"/>
  <c r="L159" i="13" s="1"/>
  <c r="L170" i="13" s="1"/>
  <c r="L182" i="13" s="1"/>
  <c r="L145" i="13"/>
  <c r="L157" i="13" s="1"/>
  <c r="L168" i="13" s="1"/>
  <c r="L180" i="13" s="1"/>
  <c r="AC147" i="13"/>
  <c r="AC159" i="13" s="1"/>
  <c r="AC148" i="13"/>
  <c r="AC160" i="13" s="1"/>
  <c r="AC145" i="13"/>
  <c r="AC157" i="13" s="1"/>
  <c r="AC168" i="13" s="1"/>
  <c r="AC180" i="13" s="1"/>
  <c r="AC149" i="13"/>
  <c r="AC161" i="13" s="1"/>
  <c r="AC146" i="13"/>
  <c r="AC158" i="13" s="1"/>
  <c r="AC144" i="13"/>
  <c r="AC156" i="13" s="1"/>
  <c r="AC167" i="13" s="1"/>
  <c r="AC179" i="13" s="1"/>
  <c r="C149" i="13"/>
  <c r="C161" i="13" s="1"/>
  <c r="C145" i="13"/>
  <c r="C157" i="13" s="1"/>
  <c r="C168" i="13" s="1"/>
  <c r="C180" i="13" s="1"/>
  <c r="C148" i="13"/>
  <c r="C160" i="13" s="1"/>
  <c r="C171" i="13" s="1"/>
  <c r="C183" i="13" s="1"/>
  <c r="C147" i="13"/>
  <c r="C159" i="13" s="1"/>
  <c r="C144" i="13"/>
  <c r="C156" i="13" s="1"/>
  <c r="C167" i="13" s="1"/>
  <c r="C179" i="13" s="1"/>
  <c r="C146" i="13"/>
  <c r="C158" i="13" s="1"/>
  <c r="C169" i="13" s="1"/>
  <c r="C181" i="13" s="1"/>
  <c r="W149" i="13"/>
  <c r="W161" i="13" s="1"/>
  <c r="W145" i="13"/>
  <c r="W157" i="13" s="1"/>
  <c r="W148" i="13"/>
  <c r="W160" i="13" s="1"/>
  <c r="W171" i="13" s="1"/>
  <c r="W183" i="13" s="1"/>
  <c r="W146" i="13"/>
  <c r="W158" i="13" s="1"/>
  <c r="W169" i="13" s="1"/>
  <c r="W181" i="13" s="1"/>
  <c r="W147" i="13"/>
  <c r="W159" i="13" s="1"/>
  <c r="W144" i="13"/>
  <c r="W156" i="13" s="1"/>
  <c r="W167" i="13" s="1"/>
  <c r="W179" i="13" s="1"/>
  <c r="J146" i="13"/>
  <c r="J158" i="13" s="1"/>
  <c r="J149" i="13"/>
  <c r="J161" i="13" s="1"/>
  <c r="J147" i="13"/>
  <c r="J159" i="13" s="1"/>
  <c r="J144" i="13"/>
  <c r="J156" i="13" s="1"/>
  <c r="J167" i="13" s="1"/>
  <c r="J179" i="13" s="1"/>
  <c r="J148" i="13"/>
  <c r="J160" i="13" s="1"/>
  <c r="J171" i="13" s="1"/>
  <c r="J183" i="13" s="1"/>
  <c r="J145" i="13"/>
  <c r="J157" i="13" s="1"/>
  <c r="J168" i="13" s="1"/>
  <c r="J180" i="13" s="1"/>
  <c r="T148" i="13"/>
  <c r="T160" i="13" s="1"/>
  <c r="T144" i="13"/>
  <c r="T156" i="13" s="1"/>
  <c r="T167" i="13" s="1"/>
  <c r="T179" i="13" s="1"/>
  <c r="T147" i="13"/>
  <c r="T159" i="13" s="1"/>
  <c r="T146" i="13"/>
  <c r="T158" i="13" s="1"/>
  <c r="T169" i="13" s="1"/>
  <c r="T181" i="13" s="1"/>
  <c r="T145" i="13"/>
  <c r="T157" i="13" s="1"/>
  <c r="T168" i="13" s="1"/>
  <c r="T180" i="13" s="1"/>
  <c r="T149" i="13"/>
  <c r="T161" i="13" s="1"/>
  <c r="P148" i="13"/>
  <c r="P160" i="13" s="1"/>
  <c r="P144" i="13"/>
  <c r="P156" i="13" s="1"/>
  <c r="P167" i="13" s="1"/>
  <c r="P179" i="13" s="1"/>
  <c r="P149" i="13"/>
  <c r="P161" i="13" s="1"/>
  <c r="P145" i="13"/>
  <c r="P157" i="13" s="1"/>
  <c r="P147" i="13"/>
  <c r="P159" i="13" s="1"/>
  <c r="P146" i="13"/>
  <c r="P158" i="13" s="1"/>
  <c r="P169" i="13" s="1"/>
  <c r="P181" i="13" s="1"/>
  <c r="R146" i="13"/>
  <c r="R158" i="13" s="1"/>
  <c r="R148" i="13"/>
  <c r="R160" i="13" s="1"/>
  <c r="R149" i="13"/>
  <c r="R161" i="13" s="1"/>
  <c r="R145" i="13"/>
  <c r="R157" i="13" s="1"/>
  <c r="R168" i="13" s="1"/>
  <c r="R180" i="13" s="1"/>
  <c r="R147" i="13"/>
  <c r="R159" i="13" s="1"/>
  <c r="R170" i="13" s="1"/>
  <c r="R182" i="13" s="1"/>
  <c r="R144" i="13"/>
  <c r="R156" i="13" s="1"/>
  <c r="R167" i="13" s="1"/>
  <c r="R179" i="13" s="1"/>
  <c r="AD146" i="13"/>
  <c r="AD158" i="13" s="1"/>
  <c r="AD149" i="13"/>
  <c r="AD161" i="13" s="1"/>
  <c r="AD144" i="13"/>
  <c r="AD156" i="13" s="1"/>
  <c r="AD167" i="13" s="1"/>
  <c r="AD179" i="13" s="1"/>
  <c r="AD148" i="13"/>
  <c r="AD160" i="13" s="1"/>
  <c r="AD147" i="13"/>
  <c r="AD159" i="13" s="1"/>
  <c r="AD170" i="13" s="1"/>
  <c r="AD182" i="13" s="1"/>
  <c r="AD145" i="13"/>
  <c r="AD157" i="13" s="1"/>
  <c r="AD168" i="13" s="1"/>
  <c r="AD180" i="13" s="1"/>
  <c r="N146" i="13"/>
  <c r="N158" i="13" s="1"/>
  <c r="N144" i="13"/>
  <c r="N156" i="13" s="1"/>
  <c r="N167" i="13" s="1"/>
  <c r="N179" i="13" s="1"/>
  <c r="N145" i="13"/>
  <c r="N157" i="13" s="1"/>
  <c r="N168" i="13" s="1"/>
  <c r="N180" i="13" s="1"/>
  <c r="N149" i="13"/>
  <c r="N161" i="13" s="1"/>
  <c r="N148" i="13"/>
  <c r="N160" i="13" s="1"/>
  <c r="N171" i="13" s="1"/>
  <c r="N183" i="13" s="1"/>
  <c r="N147" i="13"/>
  <c r="N159" i="13" s="1"/>
  <c r="U147" i="13"/>
  <c r="U159" i="13" s="1"/>
  <c r="U149" i="13"/>
  <c r="U161" i="13" s="1"/>
  <c r="U144" i="13"/>
  <c r="U156" i="13" s="1"/>
  <c r="U167" i="13" s="1"/>
  <c r="U179" i="13" s="1"/>
  <c r="U148" i="13"/>
  <c r="U160" i="13" s="1"/>
  <c r="U146" i="13"/>
  <c r="U158" i="13" s="1"/>
  <c r="U145" i="13"/>
  <c r="U157" i="13" s="1"/>
  <c r="U168" i="13" s="1"/>
  <c r="U180" i="13" s="1"/>
  <c r="Y147" i="13"/>
  <c r="Y159" i="13" s="1"/>
  <c r="Y149" i="13"/>
  <c r="Y161" i="13" s="1"/>
  <c r="Y148" i="13"/>
  <c r="Y160" i="13" s="1"/>
  <c r="Y171" i="13" s="1"/>
  <c r="Y183" i="13" s="1"/>
  <c r="Y146" i="13"/>
  <c r="Y158" i="13" s="1"/>
  <c r="Y169" i="13" s="1"/>
  <c r="Y181" i="13" s="1"/>
  <c r="Y144" i="13"/>
  <c r="Y156" i="13" s="1"/>
  <c r="Y167" i="13" s="1"/>
  <c r="Y179" i="13" s="1"/>
  <c r="Y145" i="13"/>
  <c r="Y157" i="13" s="1"/>
  <c r="X148" i="13"/>
  <c r="X160" i="13" s="1"/>
  <c r="X144" i="13"/>
  <c r="X156" i="13" s="1"/>
  <c r="X167" i="13" s="1"/>
  <c r="X179" i="13" s="1"/>
  <c r="X145" i="13"/>
  <c r="X157" i="13" s="1"/>
  <c r="X149" i="13"/>
  <c r="X161" i="13" s="1"/>
  <c r="X147" i="13"/>
  <c r="X159" i="13" s="1"/>
  <c r="X146" i="13"/>
  <c r="X158" i="13" s="1"/>
  <c r="X169" i="13" s="1"/>
  <c r="X181" i="13" s="1"/>
  <c r="AB173" i="13"/>
  <c r="AB185" i="13" s="1"/>
  <c r="AB172" i="13"/>
  <c r="AB184" i="13" s="1"/>
  <c r="AB171" i="13"/>
  <c r="AB183" i="13" s="1"/>
  <c r="U173" i="13" l="1"/>
  <c r="U185" i="13" s="1"/>
  <c r="U172" i="13"/>
  <c r="U184" i="13" s="1"/>
  <c r="X170" i="13"/>
  <c r="X182" i="13" s="1"/>
  <c r="X171" i="13"/>
  <c r="X183" i="13" s="1"/>
  <c r="U169" i="13"/>
  <c r="U181" i="13" s="1"/>
  <c r="AD169" i="13"/>
  <c r="AD181" i="13" s="1"/>
  <c r="R172" i="13"/>
  <c r="R184" i="13" s="1"/>
  <c r="R173" i="13"/>
  <c r="R185" i="13" s="1"/>
  <c r="P170" i="13"/>
  <c r="P182" i="13" s="1"/>
  <c r="P171" i="13"/>
  <c r="P183" i="13" s="1"/>
  <c r="T170" i="13"/>
  <c r="T182" i="13" s="1"/>
  <c r="J169" i="13"/>
  <c r="J181" i="13" s="1"/>
  <c r="C173" i="13"/>
  <c r="C185" i="13" s="1"/>
  <c r="C172" i="13"/>
  <c r="C184" i="13" s="1"/>
  <c r="L171" i="13"/>
  <c r="L183" i="13" s="1"/>
  <c r="S169" i="13"/>
  <c r="S181" i="13" s="1"/>
  <c r="S173" i="13"/>
  <c r="S185" i="13" s="1"/>
  <c r="S172" i="13"/>
  <c r="S184" i="13" s="1"/>
  <c r="AA168" i="13"/>
  <c r="AA180" i="13" s="1"/>
  <c r="I168" i="13"/>
  <c r="I180" i="13" s="1"/>
  <c r="I173" i="13"/>
  <c r="I185" i="13" s="1"/>
  <c r="I172" i="13"/>
  <c r="I184" i="13" s="1"/>
  <c r="K170" i="13"/>
  <c r="K182" i="13" s="1"/>
  <c r="V168" i="13"/>
  <c r="V180" i="13" s="1"/>
  <c r="B168" i="13"/>
  <c r="B180" i="13" s="1"/>
  <c r="D169" i="13"/>
  <c r="D181" i="13" s="1"/>
  <c r="D171" i="13"/>
  <c r="D183" i="13" s="1"/>
  <c r="G171" i="13"/>
  <c r="G183" i="13" s="1"/>
  <c r="O171" i="13"/>
  <c r="O183" i="13" s="1"/>
  <c r="O172" i="13"/>
  <c r="O184" i="13" s="1"/>
  <c r="O173" i="13"/>
  <c r="O185" i="13" s="1"/>
  <c r="M169" i="13"/>
  <c r="M181" i="13" s="1"/>
  <c r="S168" i="13"/>
  <c r="S180" i="13" s="1"/>
  <c r="V172" i="13"/>
  <c r="V184" i="13" s="1"/>
  <c r="V173" i="13"/>
  <c r="V185" i="13" s="1"/>
  <c r="U170" i="13"/>
  <c r="U182" i="13" s="1"/>
  <c r="X173" i="13"/>
  <c r="X185" i="13" s="1"/>
  <c r="X172" i="13"/>
  <c r="X184" i="13" s="1"/>
  <c r="Y168" i="13"/>
  <c r="Y180" i="13" s="1"/>
  <c r="Y173" i="13"/>
  <c r="Y185" i="13" s="1"/>
  <c r="Y172" i="13"/>
  <c r="Y184" i="13" s="1"/>
  <c r="U171" i="13"/>
  <c r="U183" i="13" s="1"/>
  <c r="N170" i="13"/>
  <c r="N182" i="13" s="1"/>
  <c r="AD171" i="13"/>
  <c r="AD183" i="13" s="1"/>
  <c r="R171" i="13"/>
  <c r="R183" i="13" s="1"/>
  <c r="P168" i="13"/>
  <c r="P180" i="13" s="1"/>
  <c r="T172" i="13"/>
  <c r="T184" i="13" s="1"/>
  <c r="T173" i="13"/>
  <c r="T185" i="13" s="1"/>
  <c r="W168" i="13"/>
  <c r="W180" i="13" s="1"/>
  <c r="C170" i="13"/>
  <c r="C182" i="13" s="1"/>
  <c r="AC171" i="13"/>
  <c r="AC183" i="13" s="1"/>
  <c r="L173" i="13"/>
  <c r="L185" i="13" s="1"/>
  <c r="L172" i="13"/>
  <c r="L184" i="13" s="1"/>
  <c r="H169" i="13"/>
  <c r="H181" i="13" s="1"/>
  <c r="S170" i="13"/>
  <c r="S182" i="13" s="1"/>
  <c r="AE168" i="13"/>
  <c r="AE180" i="13" s="1"/>
  <c r="AA171" i="13"/>
  <c r="AA183" i="13" s="1"/>
  <c r="AA173" i="13"/>
  <c r="AA185" i="13" s="1"/>
  <c r="AA172" i="13"/>
  <c r="AA184" i="13" s="1"/>
  <c r="E171" i="13"/>
  <c r="E183" i="13" s="1"/>
  <c r="I169" i="13"/>
  <c r="I181" i="13" s="1"/>
  <c r="I170" i="13"/>
  <c r="I182" i="13" s="1"/>
  <c r="Z170" i="13"/>
  <c r="Z182" i="13" s="1"/>
  <c r="Q168" i="13"/>
  <c r="Q180" i="13" s="1"/>
  <c r="Q170" i="13"/>
  <c r="Q182" i="13" s="1"/>
  <c r="K171" i="13"/>
  <c r="K183" i="13" s="1"/>
  <c r="V169" i="13"/>
  <c r="V181" i="13" s="1"/>
  <c r="B172" i="13"/>
  <c r="B184" i="13" s="1"/>
  <c r="B173" i="13"/>
  <c r="B185" i="13" s="1"/>
  <c r="F172" i="13"/>
  <c r="F184" i="13" s="1"/>
  <c r="F173" i="13"/>
  <c r="F185" i="13" s="1"/>
  <c r="F169" i="13"/>
  <c r="F181" i="13" s="1"/>
  <c r="D172" i="13"/>
  <c r="D184" i="13" s="1"/>
  <c r="D173" i="13"/>
  <c r="D185" i="13" s="1"/>
  <c r="G168" i="13"/>
  <c r="G180" i="13" s="1"/>
  <c r="M173" i="13"/>
  <c r="M185" i="13" s="1"/>
  <c r="M172" i="13"/>
  <c r="M184" i="13" s="1"/>
  <c r="N172" i="13"/>
  <c r="N184" i="13" s="1"/>
  <c r="N173" i="13"/>
  <c r="N185" i="13" s="1"/>
  <c r="AD172" i="13"/>
  <c r="AD184" i="13" s="1"/>
  <c r="AD173" i="13"/>
  <c r="AD185" i="13" s="1"/>
  <c r="J172" i="13"/>
  <c r="J184" i="13" s="1"/>
  <c r="J173" i="13"/>
  <c r="J185" i="13" s="1"/>
  <c r="AC173" i="13"/>
  <c r="AC185" i="13" s="1"/>
  <c r="AC172" i="13"/>
  <c r="AC184" i="13" s="1"/>
  <c r="H173" i="13"/>
  <c r="H185" i="13" s="1"/>
  <c r="H172" i="13"/>
  <c r="H184" i="13" s="1"/>
  <c r="Q173" i="13"/>
  <c r="Q185" i="13" s="1"/>
  <c r="Q172" i="13"/>
  <c r="Q184" i="13" s="1"/>
  <c r="K172" i="13"/>
  <c r="K184" i="13" s="1"/>
  <c r="K173" i="13"/>
  <c r="K185" i="13" s="1"/>
  <c r="X168" i="13"/>
  <c r="X180" i="13" s="1"/>
  <c r="Y170" i="13"/>
  <c r="Y182" i="13" s="1"/>
  <c r="N169" i="13"/>
  <c r="N181" i="13" s="1"/>
  <c r="R169" i="13"/>
  <c r="R181" i="13" s="1"/>
  <c r="P173" i="13"/>
  <c r="P185" i="13" s="1"/>
  <c r="P172" i="13"/>
  <c r="P184" i="13" s="1"/>
  <c r="T171" i="13"/>
  <c r="T183" i="13" s="1"/>
  <c r="J170" i="13"/>
  <c r="J182" i="13" s="1"/>
  <c r="W170" i="13"/>
  <c r="W182" i="13" s="1"/>
  <c r="W173" i="13"/>
  <c r="W185" i="13" s="1"/>
  <c r="W172" i="13"/>
  <c r="W184" i="13" s="1"/>
  <c r="AC169" i="13"/>
  <c r="AC181" i="13" s="1"/>
  <c r="AC170" i="13"/>
  <c r="AC182" i="13" s="1"/>
  <c r="L169" i="13"/>
  <c r="L181" i="13" s="1"/>
  <c r="H171" i="13"/>
  <c r="H183" i="13" s="1"/>
  <c r="AE171" i="13"/>
  <c r="AE183" i="13" s="1"/>
  <c r="AE172" i="13"/>
  <c r="AE184" i="13" s="1"/>
  <c r="AE173" i="13"/>
  <c r="AE185" i="13" s="1"/>
  <c r="AA169" i="13"/>
  <c r="AA181" i="13" s="1"/>
  <c r="E168" i="13"/>
  <c r="E180" i="13" s="1"/>
  <c r="E173" i="13"/>
  <c r="E185" i="13" s="1"/>
  <c r="E172" i="13"/>
  <c r="E184" i="13" s="1"/>
  <c r="Z168" i="13"/>
  <c r="Z180" i="13" s="1"/>
  <c r="Z172" i="13"/>
  <c r="Z184" i="13" s="1"/>
  <c r="Z173" i="13"/>
  <c r="Z185" i="13" s="1"/>
  <c r="K168" i="13"/>
  <c r="K180" i="13" s="1"/>
  <c r="B171" i="13"/>
  <c r="B183" i="13" s="1"/>
  <c r="G170" i="13"/>
  <c r="G182" i="13" s="1"/>
  <c r="G173" i="13"/>
  <c r="G185" i="13" s="1"/>
  <c r="G172" i="13"/>
  <c r="G184" i="13" s="1"/>
  <c r="O170" i="13"/>
  <c r="O182" i="13" s="1"/>
  <c r="M170" i="13"/>
  <c r="M182" i="1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<sst xmlns="http://schemas.openxmlformats.org/spreadsheetml/2006/main" count="356" uniqueCount="51">
  <si>
    <t>TGF</t>
  </si>
  <si>
    <t>Paso 1:</t>
  </si>
  <si>
    <t>Paso 2:</t>
  </si>
  <si>
    <t>Paso 3:</t>
  </si>
  <si>
    <t>Paso 4:</t>
  </si>
  <si>
    <t>Paso 5:</t>
  </si>
  <si>
    <t>Paso 6:</t>
  </si>
  <si>
    <t>Paso 7:</t>
  </si>
  <si>
    <t>Paso 8:</t>
  </si>
  <si>
    <t>Paso 9:</t>
  </si>
  <si>
    <t>Paso 10:</t>
  </si>
  <si>
    <t>Paso 11:</t>
  </si>
  <si>
    <t>Parámetros del modelo</t>
  </si>
  <si>
    <t>Estructuras porcentuales acumuladas ajustadas</t>
  </si>
  <si>
    <t>b</t>
  </si>
  <si>
    <t>a</t>
  </si>
  <si>
    <t>15-19</t>
  </si>
  <si>
    <t>20-24</t>
  </si>
  <si>
    <t>25-29</t>
  </si>
  <si>
    <t>30-34</t>
  </si>
  <si>
    <t>35-39</t>
  </si>
  <si>
    <t>40-44</t>
  </si>
  <si>
    <t>45-49</t>
  </si>
  <si>
    <t>Edad / Año</t>
  </si>
  <si>
    <t>Consideraremos los últimos 30 años de información históricas de las TEF(años 1990-2019)</t>
  </si>
  <si>
    <t>Tasas Específicas de Fecundidad</t>
  </si>
  <si>
    <t>Tasas Específicas de Fecundidad del patrón estándar</t>
  </si>
  <si>
    <t>Patrón estándar</t>
  </si>
  <si>
    <t>Tasa Global de Fecundidad</t>
  </si>
  <si>
    <t>Año</t>
  </si>
  <si>
    <t>TGF patrón estándar</t>
  </si>
  <si>
    <t>Descendencias parciales (F(x))</t>
  </si>
  <si>
    <t>Proporción de la fecundidad global hasta la edad x (F(x)/TGF)</t>
  </si>
  <si>
    <t>Bilogitos observados</t>
  </si>
  <si>
    <r>
      <t>Descendencia parcial estándar  (F</t>
    </r>
    <r>
      <rPr>
        <vertAlign val="superscript"/>
        <sz val="9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(x))</t>
    </r>
  </si>
  <si>
    <t>Estándar</t>
  </si>
  <si>
    <t>Edad</t>
  </si>
  <si>
    <r>
      <t>Proporción de la fecundidad global hasta la edad x (F</t>
    </r>
    <r>
      <rPr>
        <vertAlign val="superscript"/>
        <sz val="9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(x)/TGF</t>
    </r>
    <r>
      <rPr>
        <vertAlign val="superscript"/>
        <sz val="9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)</t>
    </r>
  </si>
  <si>
    <r>
      <t>V1</t>
    </r>
    <r>
      <rPr>
        <vertAlign val="superscript"/>
        <sz val="10"/>
        <color theme="1"/>
        <rFont val="Times New Roman"/>
        <family val="1"/>
      </rPr>
      <t>O</t>
    </r>
  </si>
  <si>
    <r>
      <t>V2</t>
    </r>
    <r>
      <rPr>
        <vertAlign val="superscript"/>
        <sz val="10"/>
        <color theme="1"/>
        <rFont val="Times New Roman"/>
        <family val="1"/>
      </rPr>
      <t>O</t>
    </r>
  </si>
  <si>
    <r>
      <t>V1</t>
    </r>
    <r>
      <rPr>
        <vertAlign val="superscript"/>
        <sz val="10"/>
        <color theme="1"/>
        <rFont val="Times New Roman"/>
        <family val="1"/>
      </rPr>
      <t>S</t>
    </r>
  </si>
  <si>
    <r>
      <t>V2</t>
    </r>
    <r>
      <rPr>
        <vertAlign val="superscript"/>
        <sz val="10"/>
        <color theme="1"/>
        <rFont val="Times New Roman"/>
        <family val="1"/>
      </rPr>
      <t>S</t>
    </r>
  </si>
  <si>
    <t>Boligitos estándar</t>
  </si>
  <si>
    <t>Bilogitos ajustados</t>
  </si>
  <si>
    <t>Estructuras porcentuales desacumuladas ajustadas</t>
  </si>
  <si>
    <t>Tasas Específicas de Fecundidad ajustadas</t>
  </si>
  <si>
    <t>Paso 12:</t>
  </si>
  <si>
    <t>AÑO</t>
  </si>
  <si>
    <t>Proyección de a, b y TGF</t>
  </si>
  <si>
    <t>Tabla tasas de fecundidad 1990-2070</t>
  </si>
  <si>
    <t>TGF Ajustada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</si>
</sst>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0"/>
      <color theme="1"/>
      <name val="Times New Roman"/>
      <family val="2"/>
    </font>
    <font>
      <vertAlign val="superscript"/>
      <sz val="10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D1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5" fillId="0" borderId="0"/>
    <xf numFmtId="0" fontId="6" fillId="0" borderId="0"/>
    <xf numFmtId="9" fontId="6" fillId="0" borderId="0" applyFon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4" applyNumberFormat="0" applyAlignment="0" applyProtection="0"/>
    <xf numFmtId="0" fontId="13" fillId="8" borderId="5" applyNumberFormat="0" applyAlignment="0" applyProtection="0"/>
    <xf numFmtId="0" fontId="14" fillId="8" borderId="4" applyNumberFormat="0" applyAlignment="0" applyProtection="0"/>
    <xf numFmtId="0" fontId="15" fillId="0" borderId="6" applyNumberFormat="0" applyFill="0" applyAlignment="0" applyProtection="0"/>
    <xf numFmtId="0" fontId="16" fillId="9" borderId="7" applyNumberFormat="0" applyAlignment="0" applyProtection="0"/>
    <xf numFmtId="0" fontId="17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6" fillId="0" borderId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24" fillId="0" borderId="0"/>
    <xf numFmtId="43" fontId="24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3" fillId="3" borderId="0" xfId="0" applyFont="1" applyFill="1" applyAlignment="1">
      <alignment horizontal="center"/>
    </xf>
    <xf numFmtId="0" fontId="24" fillId="0" borderId="0" xfId="50" applyAlignment="1">
      <alignment horizontal="left"/>
    </xf>
    <xf numFmtId="0" fontId="4" fillId="35" borderId="0" xfId="0" applyFont="1" applyFill="1"/>
    <xf numFmtId="0" fontId="2" fillId="35" borderId="0" xfId="0" applyFont="1" applyFill="1"/>
    <xf numFmtId="0" fontId="2" fillId="0" borderId="0" xfId="0" applyFont="1"/>
    <xf numFmtId="164" fontId="24" fillId="0" borderId="0" xfId="50" applyNumberFormat="1"/>
    <xf numFmtId="0" fontId="24" fillId="2" borderId="0" xfId="50" applyFill="1" applyAlignment="1">
      <alignment horizontal="left"/>
    </xf>
    <xf numFmtId="0" fontId="24" fillId="2" borderId="0" xfId="50" applyFill="1"/>
    <xf numFmtId="164" fontId="24" fillId="2" borderId="0" xfId="50" applyNumberFormat="1" applyFill="1"/>
    <xf numFmtId="0" fontId="2" fillId="36" borderId="0" xfId="0" applyFont="1" applyFill="1"/>
    <xf numFmtId="164" fontId="24" fillId="36" borderId="0" xfId="50" applyNumberFormat="1" applyFill="1"/>
    <xf numFmtId="0" fontId="24" fillId="37" borderId="0" xfId="50" applyFill="1" applyAlignment="1">
      <alignment horizontal="left"/>
    </xf>
    <xf numFmtId="164" fontId="24" fillId="37" borderId="0" xfId="50" applyNumberFormat="1" applyFill="1"/>
    <xf numFmtId="0" fontId="2" fillId="37" borderId="0" xfId="0" applyFont="1" applyFill="1"/>
    <xf numFmtId="0" fontId="2" fillId="38" borderId="0" xfId="0" applyFont="1" applyFill="1"/>
    <xf numFmtId="165" fontId="2" fillId="2" borderId="0" xfId="0" applyNumberFormat="1" applyFont="1" applyFill="1"/>
    <xf numFmtId="0" fontId="3" fillId="3" borderId="0" xfId="0" applyFont="1" applyFill="1" applyAlignment="1">
      <alignment horizontal="center"/>
    </xf>
  </cellXfs>
  <cellStyles count="52">
    <cellStyle name="20% - Énfasis1" xfId="20" builtinId="30" customBuiltin="1"/>
    <cellStyle name="20% - Énfasis2" xfId="23" builtinId="34" customBuiltin="1"/>
    <cellStyle name="20% - Énfasis3" xfId="26" builtinId="38" customBuiltin="1"/>
    <cellStyle name="20% - Énfasis4" xfId="29" builtinId="42" customBuiltin="1"/>
    <cellStyle name="20% - Énfasis5" xfId="32" builtinId="46" customBuiltin="1"/>
    <cellStyle name="20% - Énfasis6" xfId="35" builtinId="50" customBuiltin="1"/>
    <cellStyle name="40% - Énfasis1" xfId="21" builtinId="31" customBuiltin="1"/>
    <cellStyle name="40% - Énfasis2" xfId="24" builtinId="35" customBuiltin="1"/>
    <cellStyle name="40% - Énfasis3" xfId="27" builtinId="39" customBuiltin="1"/>
    <cellStyle name="40% - Énfasis4" xfId="30" builtinId="43" customBuiltin="1"/>
    <cellStyle name="40% - Énfasis5" xfId="33" builtinId="47" customBuiltin="1"/>
    <cellStyle name="40% - Énfasis6" xfId="36" builtinId="51" customBuiltin="1"/>
    <cellStyle name="60% - Énfasis1 2" xfId="41" xr:uid="{A1DCC42B-0370-421F-8395-32EBB06789E5}"/>
    <cellStyle name="60% - Énfasis2 2" xfId="42" xr:uid="{91A5E4A9-CEAB-4365-A77C-5D943C7F767B}"/>
    <cellStyle name="60% - Énfasis3 2" xfId="43" xr:uid="{78BF8CD0-A907-4A82-9454-042B4A1AB277}"/>
    <cellStyle name="60% - Énfasis4 2" xfId="44" xr:uid="{B21587A0-D28D-4610-B5F6-03CCFDFFFBBB}"/>
    <cellStyle name="60% - Énfasis5 2" xfId="45" xr:uid="{9B1F6EF2-F170-4AF1-909C-0EBD6FE7C01D}"/>
    <cellStyle name="60% - Énfasis6 2" xfId="46" xr:uid="{86350B56-B1D6-4692-BEE3-2932EF074863}"/>
    <cellStyle name="Bueno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2" builtinId="33" customBuiltin="1"/>
    <cellStyle name="Énfasis3" xfId="25" builtinId="37" customBuiltin="1"/>
    <cellStyle name="Énfasis4" xfId="28" builtinId="41" customBuiltin="1"/>
    <cellStyle name="Énfasis5" xfId="31" builtinId="45" customBuiltin="1"/>
    <cellStyle name="Énfasis6" xfId="34" builtinId="49" customBuiltin="1"/>
    <cellStyle name="Entrada" xfId="10" builtinId="20" customBuiltin="1"/>
    <cellStyle name="Incorrecto" xfId="9" builtinId="27" customBuiltin="1"/>
    <cellStyle name="Millares 2" xfId="48" xr:uid="{B7140AE3-EFC7-416B-8357-BAE54F63C10B}"/>
    <cellStyle name="Millares 3" xfId="47" xr:uid="{D3776540-FFF6-4E41-A724-68CB0BD83325}"/>
    <cellStyle name="Millares 4" xfId="51" xr:uid="{E1D4D05C-1F05-4DE8-A428-938A1B910350}"/>
    <cellStyle name="Neutral 2" xfId="40" xr:uid="{CF3A78A4-063C-4422-929D-83A17A82FDE3}"/>
    <cellStyle name="Normal" xfId="0" builtinId="0"/>
    <cellStyle name="Normal 2" xfId="1" xr:uid="{1E69211D-4488-4EA1-BB98-A3546529DAF4}"/>
    <cellStyle name="Normal 2 2" xfId="49" xr:uid="{FC8913FC-5C8A-4680-83CC-CE5DE63D322D}"/>
    <cellStyle name="Normal 3" xfId="2" xr:uid="{BDE7A9FF-6F85-406D-93FA-D722121FDE54}"/>
    <cellStyle name="Normal 3 2" xfId="37" xr:uid="{4C1A4314-E4AC-424E-B8F7-62B4B5E811A2}"/>
    <cellStyle name="Normal 4" xfId="38" xr:uid="{AE4E8F4C-E0EE-4F2D-81BC-337F5A96EAB6}"/>
    <cellStyle name="Normal 5" xfId="50" xr:uid="{0C52E285-0965-46A1-ADB5-84D353907C20}"/>
    <cellStyle name="Notas" xfId="16" builtinId="10" customBuiltin="1"/>
    <cellStyle name="Porcentaje 2" xfId="3" xr:uid="{EA839414-BE3B-4878-803B-258C26D3B97C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 2" xfId="5" builtinId="17" customBuiltin="1"/>
    <cellStyle name="Título 3" xfId="6" builtinId="18" customBuiltin="1"/>
    <cellStyle name="Título 4" xfId="39" xr:uid="{A65E74A7-1750-43C2-A918-F4FA16EEAB78}"/>
    <cellStyle name="Total" xfId="18" builtinId="25" customBuiltin="1"/>
  </cellStyles>
  <dxfs count="0"/>
  <tableStyles count="0" defaultTableStyle="TableStyleMedium2" defaultPivotStyle="PivotStyleLight16"/>
  <colors>
    <mruColors>
      <color rgb="FFFF3399"/>
      <color rgb="FFFFFFCC"/>
      <color rgb="FFCCFFCC"/>
      <color rgb="FFE8D1FF"/>
      <color rgb="FF8C3FC5"/>
      <color rgb="FFBA6EAF"/>
      <color rgb="FFF5EBFF"/>
      <color rgb="FF016B2E"/>
      <color rgb="FFCCFFFF"/>
      <color rgb="FFFF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Bilogito!$A$123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5972190925986018E-2"/>
                  <c:y val="-0.14783243112007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numRef>
              <c:f>Bilogito!$B$122:$AE$122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Bilogito!$B$123:$AE$123</c:f>
              <c:numCache>
                <c:formatCode>0.0000</c:formatCode>
                <c:ptCount val="30"/>
                <c:pt idx="0">
                  <c:v>0.92023850604534807</c:v>
                </c:pt>
                <c:pt idx="1">
                  <c:v>0.92536845292595127</c:v>
                </c:pt>
                <c:pt idx="2">
                  <c:v>0.92945231578351994</c:v>
                </c:pt>
                <c:pt idx="3">
                  <c:v>0.93310262938429878</c:v>
                </c:pt>
                <c:pt idx="4">
                  <c:v>0.93697926102520712</c:v>
                </c:pt>
                <c:pt idx="5">
                  <c:v>0.94120173515901995</c:v>
                </c:pt>
                <c:pt idx="6">
                  <c:v>0.94536545298261521</c:v>
                </c:pt>
                <c:pt idx="7">
                  <c:v>0.95196011175337303</c:v>
                </c:pt>
                <c:pt idx="8">
                  <c:v>0.96269220588114779</c:v>
                </c:pt>
                <c:pt idx="9">
                  <c:v>0.97738184774225578</c:v>
                </c:pt>
                <c:pt idx="10">
                  <c:v>0.99110012427326211</c:v>
                </c:pt>
                <c:pt idx="11">
                  <c:v>1.0016392024913661</c:v>
                </c:pt>
                <c:pt idx="12">
                  <c:v>1.010107338060414</c:v>
                </c:pt>
                <c:pt idx="13">
                  <c:v>1.02012446514344</c:v>
                </c:pt>
                <c:pt idx="14">
                  <c:v>1.0317197517796421</c:v>
                </c:pt>
                <c:pt idx="15">
                  <c:v>1.0416153951085128</c:v>
                </c:pt>
                <c:pt idx="16">
                  <c:v>1.0494778496391328</c:v>
                </c:pt>
                <c:pt idx="17">
                  <c:v>1.0571477075789706</c:v>
                </c:pt>
                <c:pt idx="18">
                  <c:v>1.0663534383297897</c:v>
                </c:pt>
                <c:pt idx="19">
                  <c:v>1.076971222282223</c:v>
                </c:pt>
                <c:pt idx="20">
                  <c:v>1.0862267768701139</c:v>
                </c:pt>
                <c:pt idx="21">
                  <c:v>1.0933378724020917</c:v>
                </c:pt>
                <c:pt idx="22">
                  <c:v>1.10036944947924</c:v>
                </c:pt>
                <c:pt idx="23">
                  <c:v>1.1108219608047651</c:v>
                </c:pt>
                <c:pt idx="24">
                  <c:v>1.1215765060527194</c:v>
                </c:pt>
                <c:pt idx="25">
                  <c:v>1.1275648504477449</c:v>
                </c:pt>
                <c:pt idx="26">
                  <c:v>1.1269116986443957</c:v>
                </c:pt>
                <c:pt idx="27">
                  <c:v>1.1218588971576449</c:v>
                </c:pt>
                <c:pt idx="28">
                  <c:v>1.1129398181466796</c:v>
                </c:pt>
                <c:pt idx="29">
                  <c:v>1.0925145147195856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5-4D48-8F14-7507F4B59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181888"/>
        <c:axId val="1918182368"/>
      </c:lineChart>
      <c:catAx>
        <c:axId val="19181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8182368"/>
        <c:crosses val="autoZero"/>
        <c:auto val="1"/>
        <c:lblAlgn val="ctr"/>
        <c:lblOffset val="100"/>
        <c:noMultiLvlLbl val="0"/>
      </c:catAx>
      <c:valAx>
        <c:axId val="1918182368"/>
        <c:scaling>
          <c:orientation val="minMax"/>
          <c:max val="1.3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818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Bilogito!$A$124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3.5972190925986018E-2"/>
                  <c:y val="-0.14783243112007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numRef>
              <c:f>Bilogito!$B$122:$AE$122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Bilogito!$B$124:$AE$124</c:f>
              <c:numCache>
                <c:formatCode>0.0000</c:formatCode>
                <c:ptCount val="30"/>
                <c:pt idx="0">
                  <c:v>0.10685606608498466</c:v>
                </c:pt>
                <c:pt idx="1">
                  <c:v>9.6857123006373363E-2</c:v>
                </c:pt>
                <c:pt idx="2">
                  <c:v>8.6941427920474781E-2</c:v>
                </c:pt>
                <c:pt idx="3">
                  <c:v>7.5195773474316677E-2</c:v>
                </c:pt>
                <c:pt idx="4">
                  <c:v>6.1796897982602059E-2</c:v>
                </c:pt>
                <c:pt idx="5">
                  <c:v>4.9473366311327635E-2</c:v>
                </c:pt>
                <c:pt idx="6">
                  <c:v>3.6095913381807024E-2</c:v>
                </c:pt>
                <c:pt idx="7">
                  <c:v>2.4985625706784087E-2</c:v>
                </c:pt>
                <c:pt idx="8">
                  <c:v>1.6987842805411768E-2</c:v>
                </c:pt>
                <c:pt idx="9">
                  <c:v>1.1029412880446371E-2</c:v>
                </c:pt>
                <c:pt idx="10">
                  <c:v>4.3119130127066141E-3</c:v>
                </c:pt>
                <c:pt idx="11">
                  <c:v>-3.2771865782267595E-3</c:v>
                </c:pt>
                <c:pt idx="12">
                  <c:v>-1.0265291679868505E-2</c:v>
                </c:pt>
                <c:pt idx="13">
                  <c:v>-1.302804956137546E-2</c:v>
                </c:pt>
                <c:pt idx="14">
                  <c:v>-1.3938564113075619E-2</c:v>
                </c:pt>
                <c:pt idx="15">
                  <c:v>-1.5747557929948447E-2</c:v>
                </c:pt>
                <c:pt idx="16">
                  <c:v>-2.0830525356201196E-2</c:v>
                </c:pt>
                <c:pt idx="17">
                  <c:v>-2.8900373652693906E-2</c:v>
                </c:pt>
                <c:pt idx="18">
                  <c:v>-3.9587977135825847E-2</c:v>
                </c:pt>
                <c:pt idx="19">
                  <c:v>-5.1906740434662313E-2</c:v>
                </c:pt>
                <c:pt idx="20">
                  <c:v>-6.4799361083134416E-2</c:v>
                </c:pt>
                <c:pt idx="21">
                  <c:v>-7.4299951719372925E-2</c:v>
                </c:pt>
                <c:pt idx="22">
                  <c:v>-7.9291457852646574E-2</c:v>
                </c:pt>
                <c:pt idx="23">
                  <c:v>-7.7508199342047474E-2</c:v>
                </c:pt>
                <c:pt idx="24">
                  <c:v>-7.2811866828110333E-2</c:v>
                </c:pt>
                <c:pt idx="25">
                  <c:v>-6.4943378205383873E-2</c:v>
                </c:pt>
                <c:pt idx="26">
                  <c:v>-5.5990285283618407E-2</c:v>
                </c:pt>
                <c:pt idx="27">
                  <c:v>-4.4601081061133863E-2</c:v>
                </c:pt>
                <c:pt idx="28">
                  <c:v>-2.8829468971334232E-2</c:v>
                </c:pt>
                <c:pt idx="29">
                  <c:v>-9.2253229804579728E-3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B-4BAF-AC68-367A0F578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181888"/>
        <c:axId val="1918182368"/>
      </c:lineChart>
      <c:catAx>
        <c:axId val="19181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8182368"/>
        <c:crosses val="autoZero"/>
        <c:auto val="1"/>
        <c:lblAlgn val="ctr"/>
        <c:lblOffset val="100"/>
        <c:noMultiLvlLbl val="0"/>
      </c:catAx>
      <c:valAx>
        <c:axId val="1918182368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818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Tasas</a:t>
            </a:r>
            <a:r>
              <a:rPr lang="es-MX" baseline="0"/>
              <a:t> específicas de fecundidad a nivel nacional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Bilogito!$B$178</c:f>
              <c:strCache>
                <c:ptCount val="1"/>
                <c:pt idx="0">
                  <c:v>1990</c:v>
                </c:pt>
              </c:strCache>
            </c:strRef>
          </c:tx>
          <c:spPr>
            <a:ln w="19050" cap="rnd">
              <a:solidFill>
                <a:schemeClr val="accent1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Bilogito!$B$179:$B$185</c:f>
              <c:numCache>
                <c:formatCode>0.0000</c:formatCode>
                <c:ptCount val="7"/>
                <c:pt idx="0">
                  <c:v>9.84239697284746E-2</c:v>
                </c:pt>
                <c:pt idx="1">
                  <c:v>0.18249135201120825</c:v>
                </c:pt>
                <c:pt idx="2">
                  <c:v>0.18223870703855713</c:v>
                </c:pt>
                <c:pt idx="3">
                  <c:v>0.14422733405353019</c:v>
                </c:pt>
                <c:pt idx="4">
                  <c:v>8.6839766635681756E-2</c:v>
                </c:pt>
                <c:pt idx="5">
                  <c:v>3.2075580810994687E-2</c:v>
                </c:pt>
                <c:pt idx="6">
                  <c:v>6.2392397215534053E-3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8-443A-ACD9-0C53D53D43BF}"/>
            </c:ext>
          </c:extLst>
        </c:ser>
        <c:ser>
          <c:idx val="0"/>
          <c:order val="1"/>
          <c:tx>
            <c:strRef>
              <c:f>Bilogito!$C$178</c:f>
              <c:strCache>
                <c:ptCount val="1"/>
                <c:pt idx="0">
                  <c:v>1991</c:v>
                </c:pt>
              </c:strCache>
            </c:strRef>
          </c:tx>
          <c:spPr>
            <a:ln w="19050" cap="rnd">
              <a:solidFill>
                <a:schemeClr val="accent1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Bilogito!$C$179:$C$185</c:f>
              <c:numCache>
                <c:formatCode>0.0000</c:formatCode>
                <c:ptCount val="7"/>
                <c:pt idx="0">
                  <c:v>9.747925177120971E-2</c:v>
                </c:pt>
                <c:pt idx="1">
                  <c:v>0.17987878750194747</c:v>
                </c:pt>
                <c:pt idx="2">
                  <c:v>0.17832151010567299</c:v>
                </c:pt>
                <c:pt idx="3">
                  <c:v>0.14004880642901316</c:v>
                </c:pt>
                <c:pt idx="4">
                  <c:v>8.3628713373231439E-2</c:v>
                </c:pt>
                <c:pt idx="5">
                  <c:v>3.0597675024843323E-2</c:v>
                </c:pt>
                <c:pt idx="6">
                  <c:v>5.8755957940818618E-3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38-443A-ACD9-0C53D53D43BF}"/>
            </c:ext>
          </c:extLst>
        </c:ser>
        <c:ser>
          <c:idx val="2"/>
          <c:order val="2"/>
          <c:tx>
            <c:strRef>
              <c:f>Bilogito!$D$178</c:f>
              <c:strCache>
                <c:ptCount val="1"/>
                <c:pt idx="0">
                  <c:v>1992</c:v>
                </c:pt>
              </c:strCache>
            </c:strRef>
          </c:tx>
          <c:spPr>
            <a:ln w="19050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Bilogito!$D$179:$D$185</c:f>
              <c:numCache>
                <c:formatCode>0.0000</c:formatCode>
                <c:ptCount val="7"/>
                <c:pt idx="0">
                  <c:v>9.62964775886576E-2</c:v>
                </c:pt>
                <c:pt idx="1">
                  <c:v>0.17646034509565572</c:v>
                </c:pt>
                <c:pt idx="2">
                  <c:v>0.17367971157222276</c:v>
                </c:pt>
                <c:pt idx="3">
                  <c:v>0.1354780642469901</c:v>
                </c:pt>
                <c:pt idx="4">
                  <c:v>8.0339534237256122E-2</c:v>
                </c:pt>
                <c:pt idx="5">
                  <c:v>2.9168793196886079E-2</c:v>
                </c:pt>
                <c:pt idx="6">
                  <c:v>5.5439640623317164E-3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38-443A-ACD9-0C53D53D43BF}"/>
            </c:ext>
          </c:extLst>
        </c:ser>
        <c:ser>
          <c:idx val="3"/>
          <c:order val="3"/>
          <c:tx>
            <c:strRef>
              <c:f>Bilogito!$E$178</c:f>
              <c:strCache>
                <c:ptCount val="1"/>
                <c:pt idx="0">
                  <c:v>1993</c:v>
                </c:pt>
              </c:strCache>
            </c:strRef>
          </c:tx>
          <c:spPr>
            <a:ln w="19050" cap="rnd">
              <a:solidFill>
                <a:schemeClr val="accent1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Bilogito!$E$179:$E$185</c:f>
              <c:numCache>
                <c:formatCode>0.0000</c:formatCode>
                <c:ptCount val="7"/>
                <c:pt idx="0">
                  <c:v>9.5151377557792502E-2</c:v>
                </c:pt>
                <c:pt idx="1">
                  <c:v>0.17247507931046041</c:v>
                </c:pt>
                <c:pt idx="2">
                  <c:v>0.16833432897464226</c:v>
                </c:pt>
                <c:pt idx="3">
                  <c:v>0.13037881803106616</c:v>
                </c:pt>
                <c:pt idx="4">
                  <c:v>7.6797010404985211E-2</c:v>
                </c:pt>
                <c:pt idx="5">
                  <c:v>2.7685330708107046E-2</c:v>
                </c:pt>
                <c:pt idx="6">
                  <c:v>5.2136650129464054E-3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38-443A-ACD9-0C53D53D43BF}"/>
            </c:ext>
          </c:extLst>
        </c:ser>
        <c:ser>
          <c:idx val="4"/>
          <c:order val="4"/>
          <c:tx>
            <c:strRef>
              <c:f>Bilogito!$F$178</c:f>
              <c:strCache>
                <c:ptCount val="1"/>
                <c:pt idx="0">
                  <c:v>1994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Bilogito!$F$179:$F$185</c:f>
              <c:numCache>
                <c:formatCode>0.0000</c:formatCode>
                <c:ptCount val="7"/>
                <c:pt idx="0">
                  <c:v>9.4071644178998104E-2</c:v>
                </c:pt>
                <c:pt idx="1">
                  <c:v>0.1683111918897118</c:v>
                </c:pt>
                <c:pt idx="2">
                  <c:v>0.16271075876415475</c:v>
                </c:pt>
                <c:pt idx="3">
                  <c:v>0.12503988143023942</c:v>
                </c:pt>
                <c:pt idx="4">
                  <c:v>7.3117927233087146E-2</c:v>
                </c:pt>
                <c:pt idx="5">
                  <c:v>2.6159845549070831E-2</c:v>
                </c:pt>
                <c:pt idx="6">
                  <c:v>4.8783609547380603E-3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38-443A-ACD9-0C53D53D43BF}"/>
            </c:ext>
          </c:extLst>
        </c:ser>
        <c:ser>
          <c:idx val="5"/>
          <c:order val="5"/>
          <c:tx>
            <c:strRef>
              <c:f>Bilogito!$G$178</c:f>
              <c:strCache>
                <c:ptCount val="1"/>
                <c:pt idx="0">
                  <c:v>1995</c:v>
                </c:pt>
              </c:strCache>
            </c:strRef>
          </c:tx>
          <c:spPr>
            <a:ln w="19050" cap="rnd">
              <a:solidFill>
                <a:schemeClr val="accent1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Bilogito!$G$179:$G$185</c:f>
              <c:numCache>
                <c:formatCode>0.0000</c:formatCode>
                <c:ptCount val="7"/>
                <c:pt idx="0">
                  <c:v>9.2703880063260788E-2</c:v>
                </c:pt>
                <c:pt idx="1">
                  <c:v>0.16412382833379496</c:v>
                </c:pt>
                <c:pt idx="2">
                  <c:v>0.15727421097718572</c:v>
                </c:pt>
                <c:pt idx="3">
                  <c:v>0.11993782810488596</c:v>
                </c:pt>
                <c:pt idx="4">
                  <c:v>6.9613245074797742E-2</c:v>
                </c:pt>
                <c:pt idx="5">
                  <c:v>2.4706514209369E-2</c:v>
                </c:pt>
                <c:pt idx="6">
                  <c:v>4.5588332367058199E-3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38-443A-ACD9-0C53D53D43BF}"/>
            </c:ext>
          </c:extLst>
        </c:ser>
        <c:ser>
          <c:idx val="6"/>
          <c:order val="6"/>
          <c:tx>
            <c:strRef>
              <c:f>Bilogito!$H$178</c:f>
              <c:strCache>
                <c:ptCount val="1"/>
                <c:pt idx="0">
                  <c:v>1996</c:v>
                </c:pt>
              </c:strCache>
            </c:strRef>
          </c:tx>
          <c:spPr>
            <a:ln w="19050" cap="rnd">
              <a:solidFill>
                <a:schemeClr val="accent1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Bilogito!$H$179:$H$185</c:f>
              <c:numCache>
                <c:formatCode>0.0000</c:formatCode>
                <c:ptCount val="7"/>
                <c:pt idx="0">
                  <c:v>9.1636644552767682E-2</c:v>
                </c:pt>
                <c:pt idx="1">
                  <c:v>0.1602432121929358</c:v>
                </c:pt>
                <c:pt idx="2">
                  <c:v>0.15210852940645758</c:v>
                </c:pt>
                <c:pt idx="3">
                  <c:v>0.11507907924771832</c:v>
                </c:pt>
                <c:pt idx="4">
                  <c:v>6.6291568981138818E-2</c:v>
                </c:pt>
                <c:pt idx="5">
                  <c:v>2.3340332870299255E-2</c:v>
                </c:pt>
                <c:pt idx="6">
                  <c:v>4.2620427486824864E-3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38-443A-ACD9-0C53D53D43BF}"/>
            </c:ext>
          </c:extLst>
        </c:ser>
        <c:ser>
          <c:idx val="7"/>
          <c:order val="7"/>
          <c:tx>
            <c:strRef>
              <c:f>Bilogito!$I$178</c:f>
              <c:strCache>
                <c:ptCount val="1"/>
                <c:pt idx="0">
                  <c:v>1997</c:v>
                </c:pt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Bilogito!$I$179:$I$185</c:f>
              <c:numCache>
                <c:formatCode>0.0000</c:formatCode>
                <c:ptCount val="7"/>
                <c:pt idx="0">
                  <c:v>9.0458034124576842E-2</c:v>
                </c:pt>
                <c:pt idx="1">
                  <c:v>0.15761861858419973</c:v>
                </c:pt>
                <c:pt idx="2">
                  <c:v>0.14840241533502713</c:v>
                </c:pt>
                <c:pt idx="3">
                  <c:v>0.11126415124525757</c:v>
                </c:pt>
                <c:pt idx="4">
                  <c:v>6.3452784866287734E-2</c:v>
                </c:pt>
                <c:pt idx="5">
                  <c:v>2.2078426276634228E-2</c:v>
                </c:pt>
                <c:pt idx="6">
                  <c:v>3.9666695680166406E-3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38-443A-ACD9-0C53D53D43BF}"/>
            </c:ext>
          </c:extLst>
        </c:ser>
        <c:ser>
          <c:idx val="8"/>
          <c:order val="8"/>
          <c:tx>
            <c:strRef>
              <c:f>Bilogito!$J$178</c:f>
              <c:strCache>
                <c:ptCount val="1"/>
                <c:pt idx="0">
                  <c:v>1998</c:v>
                </c:pt>
              </c:strCache>
            </c:strRef>
          </c:tx>
          <c:spPr>
            <a:ln w="19050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Bilogito!$J$179:$J$185</c:f>
              <c:numCache>
                <c:formatCode>0.0000</c:formatCode>
                <c:ptCount val="7"/>
                <c:pt idx="0">
                  <c:v>8.9097290781378652E-2</c:v>
                </c:pt>
                <c:pt idx="1">
                  <c:v>0.15681774863501829</c:v>
                </c:pt>
                <c:pt idx="2">
                  <c:v>0.14668912667472209</c:v>
                </c:pt>
                <c:pt idx="3">
                  <c:v>0.10875078607866986</c:v>
                </c:pt>
                <c:pt idx="4">
                  <c:v>6.112601004444089E-2</c:v>
                </c:pt>
                <c:pt idx="5">
                  <c:v>2.0881406217943606E-2</c:v>
                </c:pt>
                <c:pt idx="6">
                  <c:v>3.6550015678267966E-3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38-443A-ACD9-0C53D53D43BF}"/>
            </c:ext>
          </c:extLst>
        </c:ser>
        <c:ser>
          <c:idx val="9"/>
          <c:order val="9"/>
          <c:tx>
            <c:strRef>
              <c:f>Bilogito!$K$178</c:f>
              <c:strCache>
                <c:ptCount val="1"/>
                <c:pt idx="0">
                  <c:v>1999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Bilogito!$K$179:$K$185</c:f>
              <c:numCache>
                <c:formatCode>0.0000</c:formatCode>
                <c:ptCount val="7"/>
                <c:pt idx="0">
                  <c:v>8.7484099243796118E-2</c:v>
                </c:pt>
                <c:pt idx="1">
                  <c:v>0.15732347424316778</c:v>
                </c:pt>
                <c:pt idx="2">
                  <c:v>0.14633445843946316</c:v>
                </c:pt>
                <c:pt idx="3">
                  <c:v>0.1070108161497948</c:v>
                </c:pt>
                <c:pt idx="4">
                  <c:v>5.9019394079487031E-2</c:v>
                </c:pt>
                <c:pt idx="5">
                  <c:v>1.9670000322746076E-2</c:v>
                </c:pt>
                <c:pt idx="6">
                  <c:v>3.3232275215449893E-3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38-443A-ACD9-0C53D53D43BF}"/>
            </c:ext>
          </c:extLst>
        </c:ser>
        <c:ser>
          <c:idx val="10"/>
          <c:order val="10"/>
          <c:tx>
            <c:strRef>
              <c:f>Bilogito!$L$178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Bilogito!$L$179:$L$185</c:f>
              <c:numCache>
                <c:formatCode>0.0000</c:formatCode>
                <c:ptCount val="7"/>
                <c:pt idx="0">
                  <c:v>8.5709125397569808E-2</c:v>
                </c:pt>
                <c:pt idx="1">
                  <c:v>0.15693328514119848</c:v>
                </c:pt>
                <c:pt idx="2">
                  <c:v>0.14507903796517219</c:v>
                </c:pt>
                <c:pt idx="3">
                  <c:v>0.10469727800685094</c:v>
                </c:pt>
                <c:pt idx="4">
                  <c:v>5.6721591937788453E-2</c:v>
                </c:pt>
                <c:pt idx="5">
                  <c:v>1.8473391776410181E-2</c:v>
                </c:pt>
                <c:pt idx="6">
                  <c:v>3.0201297750100655E-3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38-443A-ACD9-0C53D53D43BF}"/>
            </c:ext>
          </c:extLst>
        </c:ser>
        <c:ser>
          <c:idx val="11"/>
          <c:order val="11"/>
          <c:tx>
            <c:strRef>
              <c:f>Bilogito!$M$178</c:f>
              <c:strCache>
                <c:ptCount val="1"/>
                <c:pt idx="0">
                  <c:v>2001</c:v>
                </c:pt>
              </c:strCache>
            </c:strRef>
          </c:tx>
          <c:spPr>
            <a:ln w="19050" cap="rnd">
              <a:solidFill>
                <a:schemeClr val="accent1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Bilogito!$M$179:$M$185</c:f>
              <c:numCache>
                <c:formatCode>0.0000</c:formatCode>
                <c:ptCount val="7"/>
                <c:pt idx="0">
                  <c:v>8.3868113866354704E-2</c:v>
                </c:pt>
                <c:pt idx="1">
                  <c:v>0.15507154680246565</c:v>
                </c:pt>
                <c:pt idx="2">
                  <c:v>0.14243851848122033</c:v>
                </c:pt>
                <c:pt idx="3">
                  <c:v>0.10166500349657522</c:v>
                </c:pt>
                <c:pt idx="4">
                  <c:v>5.4307721667246511E-2</c:v>
                </c:pt>
                <c:pt idx="5">
                  <c:v>1.7374922335170871E-2</c:v>
                </c:pt>
                <c:pt idx="6">
                  <c:v>2.7699433509668055E-3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38-443A-ACD9-0C53D53D43BF}"/>
            </c:ext>
          </c:extLst>
        </c:ser>
        <c:ser>
          <c:idx val="12"/>
          <c:order val="12"/>
          <c:tx>
            <c:strRef>
              <c:f>Bilogito!$N$178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1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Bilogito!$N$179:$N$185</c:f>
              <c:numCache>
                <c:formatCode>0.0000</c:formatCode>
                <c:ptCount val="7"/>
                <c:pt idx="0">
                  <c:v>8.1857637074087455E-2</c:v>
                </c:pt>
                <c:pt idx="1">
                  <c:v>0.15231295429017627</c:v>
                </c:pt>
                <c:pt idx="2">
                  <c:v>0.1390923710579475</c:v>
                </c:pt>
                <c:pt idx="3">
                  <c:v>9.8370859106649708E-2</c:v>
                </c:pt>
                <c:pt idx="4">
                  <c:v>5.1949759307975643E-2</c:v>
                </c:pt>
                <c:pt idx="5">
                  <c:v>1.6384055360558234E-2</c:v>
                </c:pt>
                <c:pt idx="6">
                  <c:v>2.559853802605162E-3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038-443A-ACD9-0C53D53D43BF}"/>
            </c:ext>
          </c:extLst>
        </c:ser>
        <c:ser>
          <c:idx val="13"/>
          <c:order val="13"/>
          <c:tx>
            <c:strRef>
              <c:f>Bilogito!$O$178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1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Bilogito!$O$179:$O$185</c:f>
              <c:numCache>
                <c:formatCode>0.0000</c:formatCode>
                <c:ptCount val="7"/>
                <c:pt idx="0">
                  <c:v>7.9304008790863148E-2</c:v>
                </c:pt>
                <c:pt idx="1">
                  <c:v>0.14998133409466216</c:v>
                </c:pt>
                <c:pt idx="2">
                  <c:v>0.13653274461899903</c:v>
                </c:pt>
                <c:pt idx="3">
                  <c:v>9.5694962955817822E-2</c:v>
                </c:pt>
                <c:pt idx="4">
                  <c:v>4.9903236656354606E-2</c:v>
                </c:pt>
                <c:pt idx="5">
                  <c:v>1.5480457163543996E-2</c:v>
                </c:pt>
                <c:pt idx="6">
                  <c:v>2.3621257197593065E-3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038-443A-ACD9-0C53D53D43BF}"/>
            </c:ext>
          </c:extLst>
        </c:ser>
        <c:ser>
          <c:idx val="14"/>
          <c:order val="14"/>
          <c:tx>
            <c:strRef>
              <c:f>Bilogito!$P$178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Bilogito!$P$179:$P$185</c:f>
              <c:numCache>
                <c:formatCode>0.0000</c:formatCode>
                <c:ptCount val="7"/>
                <c:pt idx="0">
                  <c:v>7.6777905339729002E-2</c:v>
                </c:pt>
                <c:pt idx="1">
                  <c:v>0.14850311092769128</c:v>
                </c:pt>
                <c:pt idx="2">
                  <c:v>0.13490543700622409</c:v>
                </c:pt>
                <c:pt idx="3">
                  <c:v>9.3643296226531808E-2</c:v>
                </c:pt>
                <c:pt idx="4">
                  <c:v>4.8144247332866763E-2</c:v>
                </c:pt>
                <c:pt idx="5">
                  <c:v>1.4654469814153118E-2</c:v>
                </c:pt>
                <c:pt idx="6">
                  <c:v>2.1760133528039688E-3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038-443A-ACD9-0C53D53D43BF}"/>
            </c:ext>
          </c:extLst>
        </c:ser>
        <c:ser>
          <c:idx val="15"/>
          <c:order val="15"/>
          <c:tx>
            <c:strRef>
              <c:f>Bilogito!$Q$178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Bilogito!$Q$179:$Q$185</c:f>
              <c:numCache>
                <c:formatCode>0.0000</c:formatCode>
                <c:ptCount val="7"/>
                <c:pt idx="0">
                  <c:v>7.4871998378414545E-2</c:v>
                </c:pt>
                <c:pt idx="1">
                  <c:v>0.14736359418411127</c:v>
                </c:pt>
                <c:pt idx="2">
                  <c:v>0.13353435452951246</c:v>
                </c:pt>
                <c:pt idx="3">
                  <c:v>9.1894798455185639E-2</c:v>
                </c:pt>
                <c:pt idx="4">
                  <c:v>4.6668405845286948E-2</c:v>
                </c:pt>
                <c:pt idx="5">
                  <c:v>1.3976975309344502E-2</c:v>
                </c:pt>
                <c:pt idx="6">
                  <c:v>2.027883298144603E-3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038-443A-ACD9-0C53D53D43BF}"/>
            </c:ext>
          </c:extLst>
        </c:ser>
        <c:ser>
          <c:idx val="16"/>
          <c:order val="16"/>
          <c:tx>
            <c:strRef>
              <c:f>Bilogito!$R$178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Bilogito!$R$179:$R$185</c:f>
              <c:numCache>
                <c:formatCode>0.0000</c:formatCode>
                <c:ptCount val="7"/>
                <c:pt idx="0">
                  <c:v>7.3850538675935759E-2</c:v>
                </c:pt>
                <c:pt idx="1">
                  <c:v>0.14649308372161621</c:v>
                </c:pt>
                <c:pt idx="2">
                  <c:v>0.13213988673335689</c:v>
                </c:pt>
                <c:pt idx="3">
                  <c:v>9.0201855267592362E-2</c:v>
                </c:pt>
                <c:pt idx="4">
                  <c:v>4.5337662676966352E-2</c:v>
                </c:pt>
                <c:pt idx="5">
                  <c:v>1.3402097935874499E-2</c:v>
                </c:pt>
                <c:pt idx="6">
                  <c:v>1.9090149886578684E-3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038-443A-ACD9-0C53D53D43BF}"/>
            </c:ext>
          </c:extLst>
        </c:ser>
        <c:ser>
          <c:idx val="17"/>
          <c:order val="17"/>
          <c:tx>
            <c:strRef>
              <c:f>Bilogito!$S$178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1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Bilogito!$S$179:$S$185</c:f>
              <c:numCache>
                <c:formatCode>0.0000</c:formatCode>
                <c:ptCount val="7"/>
                <c:pt idx="0">
                  <c:v>7.3403003145831952E-2</c:v>
                </c:pt>
                <c:pt idx="1">
                  <c:v>0.14595955750631354</c:v>
                </c:pt>
                <c:pt idx="2">
                  <c:v>0.13078289320612652</c:v>
                </c:pt>
                <c:pt idx="3">
                  <c:v>8.8480846527682608E-2</c:v>
                </c:pt>
                <c:pt idx="4">
                  <c:v>4.4005753115833934E-2</c:v>
                </c:pt>
                <c:pt idx="5">
                  <c:v>1.284152770327035E-2</c:v>
                </c:pt>
                <c:pt idx="6">
                  <c:v>1.7966287949412649E-3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038-443A-ACD9-0C53D53D43BF}"/>
            </c:ext>
          </c:extLst>
        </c:ser>
        <c:ser>
          <c:idx val="18"/>
          <c:order val="18"/>
          <c:tx>
            <c:strRef>
              <c:f>Bilogito!$T$178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Bilogito!$T$179:$T$185</c:f>
              <c:numCache>
                <c:formatCode>0.0000</c:formatCode>
                <c:ptCount val="7"/>
                <c:pt idx="0">
                  <c:v>7.3161867865749949E-2</c:v>
                </c:pt>
                <c:pt idx="1">
                  <c:v>0.14564916431371133</c:v>
                </c:pt>
                <c:pt idx="2">
                  <c:v>0.1293680076335631</c:v>
                </c:pt>
                <c:pt idx="3">
                  <c:v>8.6561307444435007E-2</c:v>
                </c:pt>
                <c:pt idx="4">
                  <c:v>4.2504219382002849E-2</c:v>
                </c:pt>
                <c:pt idx="5">
                  <c:v>1.2212518727829483E-2</c:v>
                </c:pt>
                <c:pt idx="6">
                  <c:v>1.6723046327083092E-3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038-443A-ACD9-0C53D53D43BF}"/>
            </c:ext>
          </c:extLst>
        </c:ser>
        <c:ser>
          <c:idx val="19"/>
          <c:order val="19"/>
          <c:tx>
            <c:strRef>
              <c:f>Bilogito!$U$178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1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Bilogito!$U$179:$U$185</c:f>
              <c:numCache>
                <c:formatCode>0.0000</c:formatCode>
                <c:ptCount val="7"/>
                <c:pt idx="0">
                  <c:v>7.2825048420449401E-2</c:v>
                </c:pt>
                <c:pt idx="1">
                  <c:v>0.14515423854940093</c:v>
                </c:pt>
                <c:pt idx="2">
                  <c:v>0.12762887476147078</c:v>
                </c:pt>
                <c:pt idx="3">
                  <c:v>8.4317247705834972E-2</c:v>
                </c:pt>
                <c:pt idx="4">
                  <c:v>4.0798734070770129E-2</c:v>
                </c:pt>
                <c:pt idx="5">
                  <c:v>1.1515482917625405E-2</c:v>
                </c:pt>
                <c:pt idx="6">
                  <c:v>1.5384035744483364E-3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038-443A-ACD9-0C53D53D43BF}"/>
            </c:ext>
          </c:extLst>
        </c:ser>
        <c:ser>
          <c:idx val="20"/>
          <c:order val="20"/>
          <c:tx>
            <c:strRef>
              <c:f>Bilogito!$V$178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1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Bilogito!$V$179:$V$185</c:f>
              <c:numCache>
                <c:formatCode>0.0000</c:formatCode>
                <c:ptCount val="7"/>
                <c:pt idx="0">
                  <c:v>7.2312199927849055E-2</c:v>
                </c:pt>
                <c:pt idx="1">
                  <c:v>0.14375586286123695</c:v>
                </c:pt>
                <c:pt idx="2">
                  <c:v>0.12509553452591343</c:v>
                </c:pt>
                <c:pt idx="3">
                  <c:v>8.1675939085551388E-2</c:v>
                </c:pt>
                <c:pt idx="4">
                  <c:v>3.9007450216999272E-2</c:v>
                </c:pt>
                <c:pt idx="5">
                  <c:v>1.0839549351160129E-2</c:v>
                </c:pt>
                <c:pt idx="6">
                  <c:v>1.4173440312897666E-3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038-443A-ACD9-0C53D53D43BF}"/>
            </c:ext>
          </c:extLst>
        </c:ser>
        <c:ser>
          <c:idx val="21"/>
          <c:order val="21"/>
          <c:tx>
            <c:strRef>
              <c:f>Bilogito!$W$178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1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Bilogito!$W$179:$W$185</c:f>
              <c:numCache>
                <c:formatCode>0.0000</c:formatCode>
                <c:ptCount val="7"/>
                <c:pt idx="0">
                  <c:v>7.1278455831868662E-2</c:v>
                </c:pt>
                <c:pt idx="1">
                  <c:v>0.14150014166340283</c:v>
                </c:pt>
                <c:pt idx="2">
                  <c:v>0.12218781953153487</c:v>
                </c:pt>
                <c:pt idx="3">
                  <c:v>7.9070606316037725E-2</c:v>
                </c:pt>
                <c:pt idx="4">
                  <c:v>3.7389509005544629E-2</c:v>
                </c:pt>
                <c:pt idx="5">
                  <c:v>1.0266856010978643E-2</c:v>
                </c:pt>
                <c:pt idx="6">
                  <c:v>1.3205716406325778E-3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038-443A-ACD9-0C53D53D43BF}"/>
            </c:ext>
          </c:extLst>
        </c:ser>
        <c:ser>
          <c:idx val="22"/>
          <c:order val="22"/>
          <c:tx>
            <c:strRef>
              <c:f>Bilogito!$X$178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1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Bilogito!$X$179:$X$185</c:f>
              <c:numCache>
                <c:formatCode>0.0000</c:formatCode>
                <c:ptCount val="7"/>
                <c:pt idx="0">
                  <c:v>6.9604466483790123E-2</c:v>
                </c:pt>
                <c:pt idx="1">
                  <c:v>0.13897799609578113</c:v>
                </c:pt>
                <c:pt idx="2">
                  <c:v>0.11946109261812918</c:v>
                </c:pt>
                <c:pt idx="3">
                  <c:v>7.6737082959457026E-2</c:v>
                </c:pt>
                <c:pt idx="4">
                  <c:v>3.5954987166030475E-2</c:v>
                </c:pt>
                <c:pt idx="5">
                  <c:v>9.7598676715141483E-3</c:v>
                </c:pt>
                <c:pt idx="6">
                  <c:v>1.235237005297799E-3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038-443A-ACD9-0C53D53D43BF}"/>
            </c:ext>
          </c:extLst>
        </c:ser>
        <c:ser>
          <c:idx val="23"/>
          <c:order val="23"/>
          <c:tx>
            <c:strRef>
              <c:f>Bilogito!$Y$178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Bilogito!$Y$179:$Y$185</c:f>
              <c:numCache>
                <c:formatCode>0.0000</c:formatCode>
                <c:ptCount val="7"/>
                <c:pt idx="0">
                  <c:v>6.719098262121817E-2</c:v>
                </c:pt>
                <c:pt idx="1">
                  <c:v>0.13737919890401667</c:v>
                </c:pt>
                <c:pt idx="2">
                  <c:v>0.1180358068284669</c:v>
                </c:pt>
                <c:pt idx="3">
                  <c:v>7.5212608513793328E-2</c:v>
                </c:pt>
                <c:pt idx="4">
                  <c:v>3.4810553455446744E-2</c:v>
                </c:pt>
                <c:pt idx="5">
                  <c:v>9.2935990474302069E-3</c:v>
                </c:pt>
                <c:pt idx="6">
                  <c:v>1.1485106296279346E-3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038-443A-ACD9-0C53D53D43BF}"/>
            </c:ext>
          </c:extLst>
        </c:ser>
        <c:ser>
          <c:idx val="24"/>
          <c:order val="24"/>
          <c:tx>
            <c:strRef>
              <c:f>Bilogito!$Z$178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1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Bilogito!$Z$179:$Z$185</c:f>
              <c:numCache>
                <c:formatCode>0.0000</c:formatCode>
                <c:ptCount val="7"/>
                <c:pt idx="0">
                  <c:v>6.4617463795960201E-2</c:v>
                </c:pt>
                <c:pt idx="1">
                  <c:v>0.13603231014119274</c:v>
                </c:pt>
                <c:pt idx="2">
                  <c:v>0.1170666077753006</c:v>
                </c:pt>
                <c:pt idx="3">
                  <c:v>7.40453133851951E-2</c:v>
                </c:pt>
                <c:pt idx="4">
                  <c:v>3.3854021091059006E-2</c:v>
                </c:pt>
                <c:pt idx="5">
                  <c:v>8.886679258872085E-3</c:v>
                </c:pt>
                <c:pt idx="6">
                  <c:v>1.0717245524202214E-3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038-443A-ACD9-0C53D53D43BF}"/>
            </c:ext>
          </c:extLst>
        </c:ser>
        <c:ser>
          <c:idx val="25"/>
          <c:order val="25"/>
          <c:tx>
            <c:strRef>
              <c:f>Bilogito!$AA$178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>
              <a:solidFill>
                <a:schemeClr val="accent1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Bilogito!$AA$179:$AA$185</c:f>
              <c:numCache>
                <c:formatCode>0.0000</c:formatCode>
                <c:ptCount val="7"/>
                <c:pt idx="0">
                  <c:v>6.1964030479403277E-2</c:v>
                </c:pt>
                <c:pt idx="1">
                  <c:v>0.13376605960781612</c:v>
                </c:pt>
                <c:pt idx="2">
                  <c:v>0.11565691033009493</c:v>
                </c:pt>
                <c:pt idx="3">
                  <c:v>7.2976203435075479E-2</c:v>
                </c:pt>
                <c:pt idx="4">
                  <c:v>3.3163897478146714E-2</c:v>
                </c:pt>
                <c:pt idx="5">
                  <c:v>8.6263398940873738E-3</c:v>
                </c:pt>
                <c:pt idx="6">
                  <c:v>1.0263687753760925E-3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038-443A-ACD9-0C53D53D43BF}"/>
            </c:ext>
          </c:extLst>
        </c:ser>
        <c:ser>
          <c:idx val="26"/>
          <c:order val="26"/>
          <c:tx>
            <c:strRef>
              <c:f>Bilogito!$AB$178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1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Bilogito!$AB$179:$AB$185</c:f>
              <c:numCache>
                <c:formatCode>0.0000</c:formatCode>
                <c:ptCount val="7"/>
                <c:pt idx="0">
                  <c:v>5.9371291005794337E-2</c:v>
                </c:pt>
                <c:pt idx="1">
                  <c:v>0.12994864966836367</c:v>
                </c:pt>
                <c:pt idx="2">
                  <c:v>0.11309391715017178</c:v>
                </c:pt>
                <c:pt idx="3">
                  <c:v>7.1605464377888159E-2</c:v>
                </c:pt>
                <c:pt idx="4">
                  <c:v>3.260854844052196E-2</c:v>
                </c:pt>
                <c:pt idx="5">
                  <c:v>8.4946196426331673E-3</c:v>
                </c:pt>
                <c:pt idx="6">
                  <c:v>1.0122997146269257E-3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038-443A-ACD9-0C53D53D43BF}"/>
            </c:ext>
          </c:extLst>
        </c:ser>
        <c:ser>
          <c:idx val="27"/>
          <c:order val="27"/>
          <c:tx>
            <c:strRef>
              <c:f>Bilogito!$AC$178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1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Bilogito!$AC$179:$AC$185</c:f>
              <c:numCache>
                <c:formatCode>0.0000</c:formatCode>
                <c:ptCount val="7"/>
                <c:pt idx="0">
                  <c:v>5.7295883384054405E-2</c:v>
                </c:pt>
                <c:pt idx="1">
                  <c:v>0.12655352959435592</c:v>
                </c:pt>
                <c:pt idx="2">
                  <c:v>0.11113342120318528</c:v>
                </c:pt>
                <c:pt idx="3">
                  <c:v>7.0923454333001193E-2</c:v>
                </c:pt>
                <c:pt idx="4">
                  <c:v>3.2548642695544368E-2</c:v>
                </c:pt>
                <c:pt idx="5">
                  <c:v>8.552694453642859E-3</c:v>
                </c:pt>
                <c:pt idx="6">
                  <c:v>1.0311243362160088E-3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038-443A-ACD9-0C53D53D43BF}"/>
            </c:ext>
          </c:extLst>
        </c:ser>
        <c:ser>
          <c:idx val="28"/>
          <c:order val="28"/>
          <c:tx>
            <c:strRef>
              <c:f>Bilogito!$AD$178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1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Bilogito!$AD$179:$AD$185</c:f>
              <c:numCache>
                <c:formatCode>0.0000</c:formatCode>
                <c:ptCount val="7"/>
                <c:pt idx="0">
                  <c:v>5.5860448072573919E-2</c:v>
                </c:pt>
                <c:pt idx="1">
                  <c:v>0.12446007477960926</c:v>
                </c:pt>
                <c:pt idx="2">
                  <c:v>0.11069591414182844</c:v>
                </c:pt>
                <c:pt idx="3">
                  <c:v>7.1540492009310314E-2</c:v>
                </c:pt>
                <c:pt idx="4">
                  <c:v>3.3264011015018531E-2</c:v>
                </c:pt>
                <c:pt idx="5">
                  <c:v>8.8736449422680691E-3</c:v>
                </c:pt>
                <c:pt idx="6">
                  <c:v>1.0919750393914951E-3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038-443A-ACD9-0C53D53D43BF}"/>
            </c:ext>
          </c:extLst>
        </c:ser>
        <c:ser>
          <c:idx val="29"/>
          <c:order val="29"/>
          <c:tx>
            <c:strRef>
              <c:f>Bilogito!$AE$178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1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Bilogito!$AE$179:$AE$185</c:f>
              <c:numCache>
                <c:formatCode>0.0000</c:formatCode>
                <c:ptCount val="7"/>
                <c:pt idx="0">
                  <c:v>5.4837066114416841E-2</c:v>
                </c:pt>
                <c:pt idx="1">
                  <c:v>0.12114744133621599</c:v>
                </c:pt>
                <c:pt idx="2">
                  <c:v>0.10959546964026408</c:v>
                </c:pt>
                <c:pt idx="3">
                  <c:v>7.2508705859523764E-2</c:v>
                </c:pt>
                <c:pt idx="4">
                  <c:v>3.465927940358926E-2</c:v>
                </c:pt>
                <c:pt idx="5">
                  <c:v>9.5643515456243725E-3</c:v>
                </c:pt>
                <c:pt idx="6">
                  <c:v>1.2335861003657162E-3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038-443A-ACD9-0C53D53D43BF}"/>
            </c:ext>
          </c:extLst>
        </c:ser>
        <c:ser>
          <c:idx val="30"/>
          <c:order val="30"/>
          <c:tx>
            <c:strRef>
              <c:f>Bilogito!$B$19</c:f>
              <c:strCache>
                <c:ptCount val="1"/>
                <c:pt idx="0">
                  <c:v>Patrón estándar</c:v>
                </c:pt>
              </c:strCache>
            </c:strRef>
          </c:tx>
          <c:spPr>
            <a:ln w="190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val>
            <c:numRef>
              <c:f>Bilogito!$B$20:$B$26</c:f>
              <c:numCache>
                <c:formatCode>0.0000</c:formatCode>
                <c:ptCount val="7"/>
                <c:pt idx="0">
                  <c:v>7.9988592333333344E-2</c:v>
                </c:pt>
                <c:pt idx="1">
                  <c:v>0.14817534233333332</c:v>
                </c:pt>
                <c:pt idx="2">
                  <c:v>0.1364370603333333</c:v>
                </c:pt>
                <c:pt idx="3">
                  <c:v>9.7618043333333321E-2</c:v>
                </c:pt>
                <c:pt idx="4">
                  <c:v>5.2278704000000016E-2</c:v>
                </c:pt>
                <c:pt idx="5">
                  <c:v>1.6774526666666668E-2</c:v>
                </c:pt>
                <c:pt idx="6">
                  <c:v>2.6848003333333334E-3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038-443A-ACD9-0C53D53D4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264703"/>
        <c:axId val="1684265119"/>
      </c:lineChart>
      <c:catAx>
        <c:axId val="168426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265119"/>
        <c:crosses val="autoZero"/>
        <c:auto val="1"/>
        <c:lblAlgn val="ctr"/>
        <c:lblOffset val="100"/>
        <c:noMultiLvlLbl val="0"/>
      </c:catAx>
      <c:valAx>
        <c:axId val="16842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264703"/>
        <c:crosses val="autoZero"/>
        <c:crossBetween val="between"/>
        <c:majorUnit val="2.0000000000000004E-2"/>
        <c:minorUnit val="4.000000000000001E-3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[1]Bilogito!$A$123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5972190925986018E-2"/>
                  <c:y val="-0.14783243112007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numRef>
              <c:f>[1]Bilogito!$B$122:$AE$122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[1]Bilogito!$B$123:$AE$123</c:f>
              <c:numCache>
                <c:formatCode>General</c:formatCode>
                <c:ptCount val="30"/>
                <c:pt idx="0">
                  <c:v>0.92023850604533985</c:v>
                </c:pt>
                <c:pt idx="1">
                  <c:v>0.92536845292593883</c:v>
                </c:pt>
                <c:pt idx="2">
                  <c:v>0.92945231578351339</c:v>
                </c:pt>
                <c:pt idx="3">
                  <c:v>0.93310262938428934</c:v>
                </c:pt>
                <c:pt idx="4">
                  <c:v>0.9369792610252019</c:v>
                </c:pt>
                <c:pt idx="5">
                  <c:v>0.94120173515901162</c:v>
                </c:pt>
                <c:pt idx="6">
                  <c:v>0.94536545298260533</c:v>
                </c:pt>
                <c:pt idx="7">
                  <c:v>0.95196011175336304</c:v>
                </c:pt>
                <c:pt idx="8">
                  <c:v>0.9626922058811439</c:v>
                </c:pt>
                <c:pt idx="9">
                  <c:v>0.97738184774224146</c:v>
                </c:pt>
                <c:pt idx="10">
                  <c:v>0.99110012427325156</c:v>
                </c:pt>
                <c:pt idx="11">
                  <c:v>1.0016392024913507</c:v>
                </c:pt>
                <c:pt idx="12">
                  <c:v>1.0101073380604026</c:v>
                </c:pt>
                <c:pt idx="13">
                  <c:v>1.0201244651434322</c:v>
                </c:pt>
                <c:pt idx="14">
                  <c:v>1.0317197517796259</c:v>
                </c:pt>
                <c:pt idx="15">
                  <c:v>1.0416153951085048</c:v>
                </c:pt>
                <c:pt idx="16">
                  <c:v>1.0494778496391122</c:v>
                </c:pt>
                <c:pt idx="17">
                  <c:v>1.0571477075789633</c:v>
                </c:pt>
                <c:pt idx="18">
                  <c:v>1.0663534383297795</c:v>
                </c:pt>
                <c:pt idx="19">
                  <c:v>1.0769712222822192</c:v>
                </c:pt>
                <c:pt idx="20">
                  <c:v>1.0862267768701113</c:v>
                </c:pt>
                <c:pt idx="21">
                  <c:v>1.0933378724020888</c:v>
                </c:pt>
                <c:pt idx="22">
                  <c:v>1.1003694494792273</c:v>
                </c:pt>
                <c:pt idx="23">
                  <c:v>1.1108219608047523</c:v>
                </c:pt>
                <c:pt idx="24">
                  <c:v>1.1215765060527076</c:v>
                </c:pt>
                <c:pt idx="25">
                  <c:v>1.1275648504477331</c:v>
                </c:pt>
                <c:pt idx="26">
                  <c:v>1.1269116986443726</c:v>
                </c:pt>
                <c:pt idx="27">
                  <c:v>1.1218588971576338</c:v>
                </c:pt>
                <c:pt idx="28">
                  <c:v>1.1129398181466679</c:v>
                </c:pt>
                <c:pt idx="29">
                  <c:v>1.0925145147195741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3-445A-9600-FB44D3F7E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181888"/>
        <c:axId val="1918182368"/>
      </c:lineChart>
      <c:catAx>
        <c:axId val="19181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8182368"/>
        <c:crosses val="autoZero"/>
        <c:auto val="1"/>
        <c:lblAlgn val="ctr"/>
        <c:lblOffset val="100"/>
        <c:noMultiLvlLbl val="0"/>
      </c:catAx>
      <c:valAx>
        <c:axId val="1918182368"/>
        <c:scaling>
          <c:orientation val="minMax"/>
          <c:max val="1.3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818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771782017951093"/>
          <c:y val="0.28183991757383714"/>
          <c:w val="0.86761821660902361"/>
          <c:h val="0.63457315621122068"/>
        </c:manualLayout>
      </c:layout>
      <c:lineChart>
        <c:grouping val="standard"/>
        <c:varyColors val="0"/>
        <c:ser>
          <c:idx val="0"/>
          <c:order val="0"/>
          <c:tx>
            <c:strRef>
              <c:f>[1]Bilogito!$A$124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5972190925986018E-2"/>
                  <c:y val="-0.14783243112007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numRef>
              <c:f>[1]Bilogito!$B$122:$AE$122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[1]Bilogito!$B$124:$AE$124</c:f>
              <c:numCache>
                <c:formatCode>General</c:formatCode>
                <c:ptCount val="30"/>
                <c:pt idx="0">
                  <c:v>0.1068560660849838</c:v>
                </c:pt>
                <c:pt idx="1">
                  <c:v>9.685712300637192E-2</c:v>
                </c:pt>
                <c:pt idx="2">
                  <c:v>8.694142792047424E-2</c:v>
                </c:pt>
                <c:pt idx="3">
                  <c:v>7.5195773474315442E-2</c:v>
                </c:pt>
                <c:pt idx="4">
                  <c:v>6.1796897982601393E-2</c:v>
                </c:pt>
                <c:pt idx="5">
                  <c:v>4.9473366311326747E-2</c:v>
                </c:pt>
                <c:pt idx="6">
                  <c:v>3.6095913381805844E-2</c:v>
                </c:pt>
                <c:pt idx="7">
                  <c:v>2.4985625706782921E-2</c:v>
                </c:pt>
                <c:pt idx="8">
                  <c:v>1.6987842805411241E-2</c:v>
                </c:pt>
                <c:pt idx="9">
                  <c:v>1.1029412880444706E-2</c:v>
                </c:pt>
                <c:pt idx="10">
                  <c:v>4.311913012704921E-3</c:v>
                </c:pt>
                <c:pt idx="11">
                  <c:v>-3.2771865782287579E-3</c:v>
                </c:pt>
                <c:pt idx="12">
                  <c:v>-1.0265291679869726E-2</c:v>
                </c:pt>
                <c:pt idx="13">
                  <c:v>-1.3028049561376348E-2</c:v>
                </c:pt>
                <c:pt idx="14">
                  <c:v>-1.3938564113077728E-2</c:v>
                </c:pt>
                <c:pt idx="15">
                  <c:v>-1.5747557929949252E-2</c:v>
                </c:pt>
                <c:pt idx="16">
                  <c:v>-2.0830525356204027E-2</c:v>
                </c:pt>
                <c:pt idx="17">
                  <c:v>-2.89003736526946E-2</c:v>
                </c:pt>
                <c:pt idx="18">
                  <c:v>-3.9587977135826985E-2</c:v>
                </c:pt>
                <c:pt idx="19">
                  <c:v>-5.190674043466259E-2</c:v>
                </c:pt>
                <c:pt idx="20">
                  <c:v>-6.4799361083134083E-2</c:v>
                </c:pt>
                <c:pt idx="21">
                  <c:v>-7.4299951719373036E-2</c:v>
                </c:pt>
                <c:pt idx="22">
                  <c:v>-7.9291457852648101E-2</c:v>
                </c:pt>
                <c:pt idx="23">
                  <c:v>-7.7508199342049056E-2</c:v>
                </c:pt>
                <c:pt idx="24">
                  <c:v>-7.281186682811186E-2</c:v>
                </c:pt>
                <c:pt idx="25">
                  <c:v>-6.4943378205385233E-2</c:v>
                </c:pt>
                <c:pt idx="26">
                  <c:v>-5.599028528362146E-2</c:v>
                </c:pt>
                <c:pt idx="27">
                  <c:v>-4.4601081061135139E-2</c:v>
                </c:pt>
                <c:pt idx="28">
                  <c:v>-2.882946897133562E-2</c:v>
                </c:pt>
                <c:pt idx="29">
                  <c:v>-9.2253229804593329E-3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0-4EA2-9252-EF262C958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181888"/>
        <c:axId val="1918182368"/>
      </c:lineChart>
      <c:catAx>
        <c:axId val="19181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8182368"/>
        <c:crosses val="autoZero"/>
        <c:auto val="1"/>
        <c:lblAlgn val="ctr"/>
        <c:lblOffset val="100"/>
        <c:noMultiLvlLbl val="0"/>
      </c:catAx>
      <c:valAx>
        <c:axId val="1918182368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818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Tasas</a:t>
            </a:r>
            <a:r>
              <a:rPr lang="es-MX" baseline="0"/>
              <a:t> específicas de fecundidad ajustadas a nivel nacional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[1]Bilogito!$B$178</c:f>
              <c:strCache>
                <c:ptCount val="1"/>
                <c:pt idx="0">
                  <c:v>1990</c:v>
                </c:pt>
              </c:strCache>
            </c:strRef>
          </c:tx>
          <c:spPr>
            <a:ln w="19050" cap="rnd">
              <a:solidFill>
                <a:schemeClr val="accent1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[1]Bilogito!$B$179:$B$185</c:f>
              <c:numCache>
                <c:formatCode>General</c:formatCode>
                <c:ptCount val="7"/>
                <c:pt idx="0">
                  <c:v>9.8423969728475863E-2</c:v>
                </c:pt>
                <c:pt idx="1">
                  <c:v>0.182491352011207</c:v>
                </c:pt>
                <c:pt idx="2">
                  <c:v>0.18223870703855585</c:v>
                </c:pt>
                <c:pt idx="3">
                  <c:v>0.14422733405352994</c:v>
                </c:pt>
                <c:pt idx="4">
                  <c:v>8.6839766635682894E-2</c:v>
                </c:pt>
                <c:pt idx="5">
                  <c:v>3.207558081099534E-2</c:v>
                </c:pt>
                <c:pt idx="6">
                  <c:v>6.2392397215531616E-3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C-4C5A-825D-6E0C4680FAFB}"/>
            </c:ext>
          </c:extLst>
        </c:ser>
        <c:ser>
          <c:idx val="0"/>
          <c:order val="1"/>
          <c:tx>
            <c:strRef>
              <c:f>[1]Bilogito!$C$178</c:f>
              <c:strCache>
                <c:ptCount val="1"/>
                <c:pt idx="0">
                  <c:v>1991</c:v>
                </c:pt>
              </c:strCache>
            </c:strRef>
          </c:tx>
          <c:spPr>
            <a:ln w="19050" cap="rnd">
              <a:solidFill>
                <a:schemeClr val="accent1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[1]Bilogito!$C$179:$C$185</c:f>
              <c:numCache>
                <c:formatCode>General</c:formatCode>
                <c:ptCount val="7"/>
                <c:pt idx="0">
                  <c:v>9.747925177121157E-2</c:v>
                </c:pt>
                <c:pt idx="1">
                  <c:v>0.1798787875019455</c:v>
                </c:pt>
                <c:pt idx="2">
                  <c:v>0.17832151010567099</c:v>
                </c:pt>
                <c:pt idx="3">
                  <c:v>0.14004880642901293</c:v>
                </c:pt>
                <c:pt idx="4">
                  <c:v>8.3628713373232869E-2</c:v>
                </c:pt>
                <c:pt idx="5">
                  <c:v>3.0597675024844274E-2</c:v>
                </c:pt>
                <c:pt idx="6">
                  <c:v>5.8755957940817821E-3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C-4C5A-825D-6E0C4680FAFB}"/>
            </c:ext>
          </c:extLst>
        </c:ser>
        <c:ser>
          <c:idx val="2"/>
          <c:order val="2"/>
          <c:tx>
            <c:strRef>
              <c:f>[1]Bilogito!$D$178</c:f>
              <c:strCache>
                <c:ptCount val="1"/>
                <c:pt idx="0">
                  <c:v>1992</c:v>
                </c:pt>
              </c:strCache>
            </c:strRef>
          </c:tx>
          <c:spPr>
            <a:ln w="19050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[1]Bilogito!$D$179:$D$185</c:f>
              <c:numCache>
                <c:formatCode>General</c:formatCode>
                <c:ptCount val="7"/>
                <c:pt idx="0">
                  <c:v>9.6296477588658558E-2</c:v>
                </c:pt>
                <c:pt idx="1">
                  <c:v>0.1764603450956547</c:v>
                </c:pt>
                <c:pt idx="2">
                  <c:v>0.17367971157222176</c:v>
                </c:pt>
                <c:pt idx="3">
                  <c:v>0.1354780642469901</c:v>
                </c:pt>
                <c:pt idx="4">
                  <c:v>8.0339534237256982E-2</c:v>
                </c:pt>
                <c:pt idx="5">
                  <c:v>2.9168793196886617E-2</c:v>
                </c:pt>
                <c:pt idx="6">
                  <c:v>5.5439640623314067E-3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DC-4C5A-825D-6E0C4680FAFB}"/>
            </c:ext>
          </c:extLst>
        </c:ser>
        <c:ser>
          <c:idx val="3"/>
          <c:order val="3"/>
          <c:tx>
            <c:strRef>
              <c:f>[1]Bilogito!$E$178</c:f>
              <c:strCache>
                <c:ptCount val="1"/>
                <c:pt idx="0">
                  <c:v>1993</c:v>
                </c:pt>
              </c:strCache>
            </c:strRef>
          </c:tx>
          <c:spPr>
            <a:ln w="19050" cap="rnd">
              <a:solidFill>
                <a:schemeClr val="accent1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[1]Bilogito!$E$179:$E$185</c:f>
              <c:numCache>
                <c:formatCode>General</c:formatCode>
                <c:ptCount val="7"/>
                <c:pt idx="0">
                  <c:v>9.515137755779389E-2</c:v>
                </c:pt>
                <c:pt idx="1">
                  <c:v>0.17247507931045908</c:v>
                </c:pt>
                <c:pt idx="2">
                  <c:v>0.16833432897464082</c:v>
                </c:pt>
                <c:pt idx="3">
                  <c:v>0.13037881803106607</c:v>
                </c:pt>
                <c:pt idx="4">
                  <c:v>7.6797010404986266E-2</c:v>
                </c:pt>
                <c:pt idx="5">
                  <c:v>2.7685330708107646E-2</c:v>
                </c:pt>
                <c:pt idx="6">
                  <c:v>5.2136650129462553E-3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DC-4C5A-825D-6E0C4680FAFB}"/>
            </c:ext>
          </c:extLst>
        </c:ser>
        <c:ser>
          <c:idx val="4"/>
          <c:order val="4"/>
          <c:tx>
            <c:strRef>
              <c:f>[1]Bilogito!$F$178</c:f>
              <c:strCache>
                <c:ptCount val="1"/>
                <c:pt idx="0">
                  <c:v>1994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[1]Bilogito!$F$179:$F$185</c:f>
              <c:numCache>
                <c:formatCode>General</c:formatCode>
                <c:ptCount val="7"/>
                <c:pt idx="0">
                  <c:v>9.4071644178998881E-2</c:v>
                </c:pt>
                <c:pt idx="1">
                  <c:v>0.16831119188971111</c:v>
                </c:pt>
                <c:pt idx="2">
                  <c:v>0.162710758764154</c:v>
                </c:pt>
                <c:pt idx="3">
                  <c:v>0.12503988143023934</c:v>
                </c:pt>
                <c:pt idx="4">
                  <c:v>7.3117927233087798E-2</c:v>
                </c:pt>
                <c:pt idx="5">
                  <c:v>2.6159845549071119E-2</c:v>
                </c:pt>
                <c:pt idx="6">
                  <c:v>4.8783609547378426E-3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DC-4C5A-825D-6E0C4680FAFB}"/>
            </c:ext>
          </c:extLst>
        </c:ser>
        <c:ser>
          <c:idx val="5"/>
          <c:order val="5"/>
          <c:tx>
            <c:strRef>
              <c:f>[1]Bilogito!$G$178</c:f>
              <c:strCache>
                <c:ptCount val="1"/>
                <c:pt idx="0">
                  <c:v>1995</c:v>
                </c:pt>
              </c:strCache>
            </c:strRef>
          </c:tx>
          <c:spPr>
            <a:ln w="19050" cap="rnd">
              <a:solidFill>
                <a:schemeClr val="accent1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[1]Bilogito!$G$179:$G$185</c:f>
              <c:numCache>
                <c:formatCode>General</c:formatCode>
                <c:ptCount val="7"/>
                <c:pt idx="0">
                  <c:v>9.2703880063261954E-2</c:v>
                </c:pt>
                <c:pt idx="1">
                  <c:v>0.16412382833379377</c:v>
                </c:pt>
                <c:pt idx="2">
                  <c:v>0.15727421097718464</c:v>
                </c:pt>
                <c:pt idx="3">
                  <c:v>0.11993782810488589</c:v>
                </c:pt>
                <c:pt idx="4">
                  <c:v>6.9613245074798671E-2</c:v>
                </c:pt>
                <c:pt idx="5">
                  <c:v>2.4706514209369493E-2</c:v>
                </c:pt>
                <c:pt idx="6">
                  <c:v>4.55883323670561E-3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DC-4C5A-825D-6E0C4680FAFB}"/>
            </c:ext>
          </c:extLst>
        </c:ser>
        <c:ser>
          <c:idx val="6"/>
          <c:order val="6"/>
          <c:tx>
            <c:strRef>
              <c:f>[1]Bilogito!$H$178</c:f>
              <c:strCache>
                <c:ptCount val="1"/>
                <c:pt idx="0">
                  <c:v>1996</c:v>
                </c:pt>
              </c:strCache>
            </c:strRef>
          </c:tx>
          <c:spPr>
            <a:ln w="19050" cap="rnd">
              <a:solidFill>
                <a:schemeClr val="accent1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[1]Bilogito!$H$179:$H$185</c:f>
              <c:numCache>
                <c:formatCode>General</c:formatCode>
                <c:ptCount val="7"/>
                <c:pt idx="0">
                  <c:v>9.1636644552769028E-2</c:v>
                </c:pt>
                <c:pt idx="1">
                  <c:v>0.16024321219293444</c:v>
                </c:pt>
                <c:pt idx="2">
                  <c:v>0.15210852940645628</c:v>
                </c:pt>
                <c:pt idx="3">
                  <c:v>0.11507907924771819</c:v>
                </c:pt>
                <c:pt idx="4">
                  <c:v>6.6291568981139762E-2</c:v>
                </c:pt>
                <c:pt idx="5">
                  <c:v>2.3340332870299865E-2</c:v>
                </c:pt>
                <c:pt idx="6">
                  <c:v>4.2620427486823502E-3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DC-4C5A-825D-6E0C4680FAFB}"/>
            </c:ext>
          </c:extLst>
        </c:ser>
        <c:ser>
          <c:idx val="7"/>
          <c:order val="7"/>
          <c:tx>
            <c:strRef>
              <c:f>[1]Bilogito!$I$178</c:f>
              <c:strCache>
                <c:ptCount val="1"/>
                <c:pt idx="0">
                  <c:v>1997</c:v>
                </c:pt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[1]Bilogito!$I$179:$I$185</c:f>
              <c:numCache>
                <c:formatCode>General</c:formatCode>
                <c:ptCount val="7"/>
                <c:pt idx="0">
                  <c:v>9.0458034124578174E-2</c:v>
                </c:pt>
                <c:pt idx="1">
                  <c:v>0.15761861858419843</c:v>
                </c:pt>
                <c:pt idx="2">
                  <c:v>0.14840241533502591</c:v>
                </c:pt>
                <c:pt idx="3">
                  <c:v>0.11126415124525746</c:v>
                </c:pt>
                <c:pt idx="4">
                  <c:v>6.3452784866288733E-2</c:v>
                </c:pt>
                <c:pt idx="5">
                  <c:v>2.2078426276634762E-2</c:v>
                </c:pt>
                <c:pt idx="6">
                  <c:v>3.9666695680165079E-3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DC-4C5A-825D-6E0C4680FAFB}"/>
            </c:ext>
          </c:extLst>
        </c:ser>
        <c:ser>
          <c:idx val="8"/>
          <c:order val="8"/>
          <c:tx>
            <c:strRef>
              <c:f>[1]Bilogito!$J$178</c:f>
              <c:strCache>
                <c:ptCount val="1"/>
                <c:pt idx="0">
                  <c:v>1998</c:v>
                </c:pt>
              </c:strCache>
            </c:strRef>
          </c:tx>
          <c:spPr>
            <a:ln w="19050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[1]Bilogito!$J$179:$J$185</c:f>
              <c:numCache>
                <c:formatCode>General</c:formatCode>
                <c:ptCount val="7"/>
                <c:pt idx="0">
                  <c:v>8.9097290781379235E-2</c:v>
                </c:pt>
                <c:pt idx="1">
                  <c:v>0.1568177486350178</c:v>
                </c:pt>
                <c:pt idx="2">
                  <c:v>0.14668912667472164</c:v>
                </c:pt>
                <c:pt idx="3">
                  <c:v>0.10875078607866985</c:v>
                </c:pt>
                <c:pt idx="4">
                  <c:v>6.1126010044441341E-2</c:v>
                </c:pt>
                <c:pt idx="5">
                  <c:v>2.08814062179438E-2</c:v>
                </c:pt>
                <c:pt idx="6">
                  <c:v>3.655001567826536E-3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DC-4C5A-825D-6E0C4680FAFB}"/>
            </c:ext>
          </c:extLst>
        </c:ser>
        <c:ser>
          <c:idx val="9"/>
          <c:order val="9"/>
          <c:tx>
            <c:strRef>
              <c:f>[1]Bilogito!$K$178</c:f>
              <c:strCache>
                <c:ptCount val="1"/>
                <c:pt idx="0">
                  <c:v>1999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[1]Bilogito!$K$179:$K$185</c:f>
              <c:numCache>
                <c:formatCode>General</c:formatCode>
                <c:ptCount val="7"/>
                <c:pt idx="0">
                  <c:v>8.748409924379795E-2</c:v>
                </c:pt>
                <c:pt idx="1">
                  <c:v>0.1573234742431659</c:v>
                </c:pt>
                <c:pt idx="2">
                  <c:v>0.14633445843946147</c:v>
                </c:pt>
                <c:pt idx="3">
                  <c:v>0.10701081614979474</c:v>
                </c:pt>
                <c:pt idx="4">
                  <c:v>5.9019394079488127E-2</c:v>
                </c:pt>
                <c:pt idx="5">
                  <c:v>1.967000032274685E-2</c:v>
                </c:pt>
                <c:pt idx="6">
                  <c:v>3.3232275215449251E-3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DC-4C5A-825D-6E0C4680FAFB}"/>
            </c:ext>
          </c:extLst>
        </c:ser>
        <c:ser>
          <c:idx val="10"/>
          <c:order val="10"/>
          <c:tx>
            <c:strRef>
              <c:f>[1]Bilogito!$L$178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[1]Bilogito!$L$179:$L$185</c:f>
              <c:numCache>
                <c:formatCode>General</c:formatCode>
                <c:ptCount val="7"/>
                <c:pt idx="0">
                  <c:v>8.5709125397571223E-2</c:v>
                </c:pt>
                <c:pt idx="1">
                  <c:v>0.15693328514119712</c:v>
                </c:pt>
                <c:pt idx="2">
                  <c:v>0.14507903796517094</c:v>
                </c:pt>
                <c:pt idx="3">
                  <c:v>0.10469727800685082</c:v>
                </c:pt>
                <c:pt idx="4">
                  <c:v>5.6721591937789341E-2</c:v>
                </c:pt>
                <c:pt idx="5">
                  <c:v>1.8473391776410625E-2</c:v>
                </c:pt>
                <c:pt idx="6">
                  <c:v>3.0201297750100018E-3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DC-4C5A-825D-6E0C4680FAFB}"/>
            </c:ext>
          </c:extLst>
        </c:ser>
        <c:ser>
          <c:idx val="11"/>
          <c:order val="11"/>
          <c:tx>
            <c:strRef>
              <c:f>[1]Bilogito!$M$178</c:f>
              <c:strCache>
                <c:ptCount val="1"/>
                <c:pt idx="0">
                  <c:v>2001</c:v>
                </c:pt>
              </c:strCache>
            </c:strRef>
          </c:tx>
          <c:spPr>
            <a:ln w="19050" cap="rnd">
              <a:solidFill>
                <a:schemeClr val="accent1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[1]Bilogito!$M$179:$M$185</c:f>
              <c:numCache>
                <c:formatCode>General</c:formatCode>
                <c:ptCount val="7"/>
                <c:pt idx="0">
                  <c:v>8.3868113866356633E-2</c:v>
                </c:pt>
                <c:pt idx="1">
                  <c:v>0.15507154680246366</c:v>
                </c:pt>
                <c:pt idx="2">
                  <c:v>0.14243851848121863</c:v>
                </c:pt>
                <c:pt idx="3">
                  <c:v>0.10166500349657515</c:v>
                </c:pt>
                <c:pt idx="4">
                  <c:v>5.4307721667247684E-2</c:v>
                </c:pt>
                <c:pt idx="5">
                  <c:v>1.7374922335171551E-2</c:v>
                </c:pt>
                <c:pt idx="6">
                  <c:v>2.7699433509667435E-3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DC-4C5A-825D-6E0C4680FAFB}"/>
            </c:ext>
          </c:extLst>
        </c:ser>
        <c:ser>
          <c:idx val="12"/>
          <c:order val="12"/>
          <c:tx>
            <c:strRef>
              <c:f>[1]Bilogito!$N$178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1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[1]Bilogito!$N$179:$N$185</c:f>
              <c:numCache>
                <c:formatCode>General</c:formatCode>
                <c:ptCount val="7"/>
                <c:pt idx="0">
                  <c:v>8.1857637074088815E-2</c:v>
                </c:pt>
                <c:pt idx="1">
                  <c:v>0.15231295429017488</c:v>
                </c:pt>
                <c:pt idx="2">
                  <c:v>0.13909237105794631</c:v>
                </c:pt>
                <c:pt idx="3">
                  <c:v>9.8370859106649777E-2</c:v>
                </c:pt>
                <c:pt idx="4">
                  <c:v>5.194975930797642E-2</c:v>
                </c:pt>
                <c:pt idx="5">
                  <c:v>1.6384055360558716E-2</c:v>
                </c:pt>
                <c:pt idx="6">
                  <c:v>2.5598538026051017E-3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DC-4C5A-825D-6E0C4680FAFB}"/>
            </c:ext>
          </c:extLst>
        </c:ser>
        <c:ser>
          <c:idx val="13"/>
          <c:order val="13"/>
          <c:tx>
            <c:strRef>
              <c:f>[1]Bilogito!$O$178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1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[1]Bilogito!$O$179:$O$185</c:f>
              <c:numCache>
                <c:formatCode>General</c:formatCode>
                <c:ptCount val="7"/>
                <c:pt idx="0">
                  <c:v>7.9304008790864064E-2</c:v>
                </c:pt>
                <c:pt idx="1">
                  <c:v>0.14998133409466122</c:v>
                </c:pt>
                <c:pt idx="2">
                  <c:v>0.1365327446189982</c:v>
                </c:pt>
                <c:pt idx="3">
                  <c:v>9.5694962955817822E-2</c:v>
                </c:pt>
                <c:pt idx="4">
                  <c:v>4.9903236656355314E-2</c:v>
                </c:pt>
                <c:pt idx="5">
                  <c:v>1.548045716354423E-2</c:v>
                </c:pt>
                <c:pt idx="6">
                  <c:v>2.362125719759189E-3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3DC-4C5A-825D-6E0C4680FAFB}"/>
            </c:ext>
          </c:extLst>
        </c:ser>
        <c:ser>
          <c:idx val="14"/>
          <c:order val="14"/>
          <c:tx>
            <c:strRef>
              <c:f>[1]Bilogito!$P$178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[1]Bilogito!$P$179:$P$185</c:f>
              <c:numCache>
                <c:formatCode>General</c:formatCode>
                <c:ptCount val="7"/>
                <c:pt idx="0">
                  <c:v>7.6777905339730862E-2</c:v>
                </c:pt>
                <c:pt idx="1">
                  <c:v>0.14850311092768942</c:v>
                </c:pt>
                <c:pt idx="2">
                  <c:v>0.13490543700622243</c:v>
                </c:pt>
                <c:pt idx="3">
                  <c:v>9.3643296226531808E-2</c:v>
                </c:pt>
                <c:pt idx="4">
                  <c:v>4.8144247332867859E-2</c:v>
                </c:pt>
                <c:pt idx="5">
                  <c:v>1.4654469814153694E-2</c:v>
                </c:pt>
                <c:pt idx="6">
                  <c:v>2.1760133528039688E-3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DC-4C5A-825D-6E0C4680FAFB}"/>
            </c:ext>
          </c:extLst>
        </c:ser>
        <c:ser>
          <c:idx val="15"/>
          <c:order val="15"/>
          <c:tx>
            <c:strRef>
              <c:f>[1]Bilogito!$Q$178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[1]Bilogito!$Q$179:$Q$185</c:f>
              <c:numCache>
                <c:formatCode>General</c:formatCode>
                <c:ptCount val="7"/>
                <c:pt idx="0">
                  <c:v>7.4871998378415433E-2</c:v>
                </c:pt>
                <c:pt idx="1">
                  <c:v>0.14736359418411038</c:v>
                </c:pt>
                <c:pt idx="2">
                  <c:v>0.13353435452951171</c:v>
                </c:pt>
                <c:pt idx="3">
                  <c:v>9.1894798455185639E-2</c:v>
                </c:pt>
                <c:pt idx="4">
                  <c:v>4.6668405845287572E-2</c:v>
                </c:pt>
                <c:pt idx="5">
                  <c:v>1.3976975309344787E-2</c:v>
                </c:pt>
                <c:pt idx="6">
                  <c:v>2.0278832981444894E-3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3DC-4C5A-825D-6E0C4680FAFB}"/>
            </c:ext>
          </c:extLst>
        </c:ser>
        <c:ser>
          <c:idx val="16"/>
          <c:order val="16"/>
          <c:tx>
            <c:strRef>
              <c:f>[1]Bilogito!$R$178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[1]Bilogito!$R$179:$R$185</c:f>
              <c:numCache>
                <c:formatCode>General</c:formatCode>
                <c:ptCount val="7"/>
                <c:pt idx="0">
                  <c:v>7.3850538675938077E-2</c:v>
                </c:pt>
                <c:pt idx="1">
                  <c:v>0.1464930837216139</c:v>
                </c:pt>
                <c:pt idx="2">
                  <c:v>0.13213988673335492</c:v>
                </c:pt>
                <c:pt idx="3">
                  <c:v>9.0201855267592376E-2</c:v>
                </c:pt>
                <c:pt idx="4">
                  <c:v>4.5337662676967636E-2</c:v>
                </c:pt>
                <c:pt idx="5">
                  <c:v>1.3402097935875171E-2</c:v>
                </c:pt>
                <c:pt idx="6">
                  <c:v>1.9090149886579241E-3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DC-4C5A-825D-6E0C4680FAFB}"/>
            </c:ext>
          </c:extLst>
        </c:ser>
        <c:ser>
          <c:idx val="17"/>
          <c:order val="17"/>
          <c:tx>
            <c:strRef>
              <c:f>[1]Bilogito!$S$178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1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[1]Bilogito!$S$179:$S$185</c:f>
              <c:numCache>
                <c:formatCode>General</c:formatCode>
                <c:ptCount val="7"/>
                <c:pt idx="0">
                  <c:v>7.3403003145832715E-2</c:v>
                </c:pt>
                <c:pt idx="1">
                  <c:v>0.14595955750631273</c:v>
                </c:pt>
                <c:pt idx="2">
                  <c:v>0.13078289320612577</c:v>
                </c:pt>
                <c:pt idx="3">
                  <c:v>8.8480846527682719E-2</c:v>
                </c:pt>
                <c:pt idx="4">
                  <c:v>4.4005753115834489E-2</c:v>
                </c:pt>
                <c:pt idx="5">
                  <c:v>1.2841527703270515E-2</c:v>
                </c:pt>
                <c:pt idx="6">
                  <c:v>1.7966287949411548E-3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DC-4C5A-825D-6E0C4680FAFB}"/>
            </c:ext>
          </c:extLst>
        </c:ser>
        <c:ser>
          <c:idx val="18"/>
          <c:order val="18"/>
          <c:tx>
            <c:strRef>
              <c:f>[1]Bilogito!$T$178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[1]Bilogito!$T$179:$T$185</c:f>
              <c:numCache>
                <c:formatCode>General</c:formatCode>
                <c:ptCount val="7"/>
                <c:pt idx="0">
                  <c:v>7.3161867865751046E-2</c:v>
                </c:pt>
                <c:pt idx="1">
                  <c:v>0.14564916431371025</c:v>
                </c:pt>
                <c:pt idx="2">
                  <c:v>0.12936800763356215</c:v>
                </c:pt>
                <c:pt idx="3">
                  <c:v>8.6561307444435021E-2</c:v>
                </c:pt>
                <c:pt idx="4">
                  <c:v>4.2504219382003564E-2</c:v>
                </c:pt>
                <c:pt idx="5">
                  <c:v>1.2212518727829755E-2</c:v>
                </c:pt>
                <c:pt idx="6">
                  <c:v>1.6723046327082548E-3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DC-4C5A-825D-6E0C4680FAFB}"/>
            </c:ext>
          </c:extLst>
        </c:ser>
        <c:ser>
          <c:idx val="19"/>
          <c:order val="19"/>
          <c:tx>
            <c:strRef>
              <c:f>[1]Bilogito!$U$178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1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[1]Bilogito!$U$179:$U$185</c:f>
              <c:numCache>
                <c:formatCode>General</c:formatCode>
                <c:ptCount val="7"/>
                <c:pt idx="0">
                  <c:v>7.2825048420449803E-2</c:v>
                </c:pt>
                <c:pt idx="1">
                  <c:v>0.14515423854940054</c:v>
                </c:pt>
                <c:pt idx="2">
                  <c:v>0.1276288747614705</c:v>
                </c:pt>
                <c:pt idx="3">
                  <c:v>8.4317247705834986E-2</c:v>
                </c:pt>
                <c:pt idx="4">
                  <c:v>4.0798734070770448E-2</c:v>
                </c:pt>
                <c:pt idx="5">
                  <c:v>1.1515482917625459E-2</c:v>
                </c:pt>
                <c:pt idx="6">
                  <c:v>1.5384035744482288E-3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3DC-4C5A-825D-6E0C4680FAFB}"/>
            </c:ext>
          </c:extLst>
        </c:ser>
        <c:ser>
          <c:idx val="20"/>
          <c:order val="20"/>
          <c:tx>
            <c:strRef>
              <c:f>[1]Bilogito!$V$178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1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[1]Bilogito!$V$179:$V$185</c:f>
              <c:numCache>
                <c:formatCode>General</c:formatCode>
                <c:ptCount val="7"/>
                <c:pt idx="0">
                  <c:v>7.2312199927849305E-2</c:v>
                </c:pt>
                <c:pt idx="1">
                  <c:v>0.14375586286123665</c:v>
                </c:pt>
                <c:pt idx="2">
                  <c:v>0.12509553452591327</c:v>
                </c:pt>
                <c:pt idx="3">
                  <c:v>8.1675939085551444E-2</c:v>
                </c:pt>
                <c:pt idx="4">
                  <c:v>3.9007450216999591E-2</c:v>
                </c:pt>
                <c:pt idx="5">
                  <c:v>1.0839549351160183E-2</c:v>
                </c:pt>
                <c:pt idx="6">
                  <c:v>1.4173440312896088E-3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DC-4C5A-825D-6E0C4680FAFB}"/>
            </c:ext>
          </c:extLst>
        </c:ser>
        <c:ser>
          <c:idx val="21"/>
          <c:order val="21"/>
          <c:tx>
            <c:strRef>
              <c:f>[1]Bilogito!$W$178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1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[1]Bilogito!$W$179:$W$185</c:f>
              <c:numCache>
                <c:formatCode>General</c:formatCode>
                <c:ptCount val="7"/>
                <c:pt idx="0">
                  <c:v>7.1278455831868939E-2</c:v>
                </c:pt>
                <c:pt idx="1">
                  <c:v>0.14150014166340258</c:v>
                </c:pt>
                <c:pt idx="2">
                  <c:v>0.12218781953153465</c:v>
                </c:pt>
                <c:pt idx="3">
                  <c:v>7.9070606316037781E-2</c:v>
                </c:pt>
                <c:pt idx="4">
                  <c:v>3.738950900554483E-2</c:v>
                </c:pt>
                <c:pt idx="5">
                  <c:v>1.0266856010978693E-2</c:v>
                </c:pt>
                <c:pt idx="6">
                  <c:v>1.320571640632475E-3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3DC-4C5A-825D-6E0C4680FAFB}"/>
            </c:ext>
          </c:extLst>
        </c:ser>
        <c:ser>
          <c:idx val="22"/>
          <c:order val="22"/>
          <c:tx>
            <c:strRef>
              <c:f>[1]Bilogito!$X$178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1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[1]Bilogito!$X$179:$X$185</c:f>
              <c:numCache>
                <c:formatCode>General</c:formatCode>
                <c:ptCount val="7"/>
                <c:pt idx="0">
                  <c:v>6.9604466483791413E-2</c:v>
                </c:pt>
                <c:pt idx="1">
                  <c:v>0.13897799609577979</c:v>
                </c:pt>
                <c:pt idx="2">
                  <c:v>0.11946109261812821</c:v>
                </c:pt>
                <c:pt idx="3">
                  <c:v>7.6737082959457123E-2</c:v>
                </c:pt>
                <c:pt idx="4">
                  <c:v>3.595498716603112E-2</c:v>
                </c:pt>
                <c:pt idx="5">
                  <c:v>9.7598676715143981E-3</c:v>
                </c:pt>
                <c:pt idx="6">
                  <c:v>1.2352370052977988E-3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DC-4C5A-825D-6E0C4680FAFB}"/>
            </c:ext>
          </c:extLst>
        </c:ser>
        <c:ser>
          <c:idx val="23"/>
          <c:order val="23"/>
          <c:tx>
            <c:strRef>
              <c:f>[1]Bilogito!$Y$178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[1]Bilogito!$Y$179:$Y$185</c:f>
              <c:numCache>
                <c:formatCode>General</c:formatCode>
                <c:ptCount val="7"/>
                <c:pt idx="0">
                  <c:v>6.7190982621219447E-2</c:v>
                </c:pt>
                <c:pt idx="1">
                  <c:v>0.13737919890401543</c:v>
                </c:pt>
                <c:pt idx="2">
                  <c:v>0.11803580682846587</c:v>
                </c:pt>
                <c:pt idx="3">
                  <c:v>7.5212608513793425E-2</c:v>
                </c:pt>
                <c:pt idx="4">
                  <c:v>3.4810553455447438E-2</c:v>
                </c:pt>
                <c:pt idx="5">
                  <c:v>9.2935990474305018E-3</c:v>
                </c:pt>
                <c:pt idx="6">
                  <c:v>1.1485106296278854E-3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3DC-4C5A-825D-6E0C4680FAFB}"/>
            </c:ext>
          </c:extLst>
        </c:ser>
        <c:ser>
          <c:idx val="24"/>
          <c:order val="24"/>
          <c:tx>
            <c:strRef>
              <c:f>[1]Bilogito!$Z$178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1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[1]Bilogito!$Z$179:$Z$185</c:f>
              <c:numCache>
                <c:formatCode>General</c:formatCode>
                <c:ptCount val="7"/>
                <c:pt idx="0">
                  <c:v>6.4617463795961352E-2</c:v>
                </c:pt>
                <c:pt idx="1">
                  <c:v>0.1360323101411916</c:v>
                </c:pt>
                <c:pt idx="2">
                  <c:v>0.11706660777529966</c:v>
                </c:pt>
                <c:pt idx="3">
                  <c:v>7.4045313385195197E-2</c:v>
                </c:pt>
                <c:pt idx="4">
                  <c:v>3.3854021091059637E-2</c:v>
                </c:pt>
                <c:pt idx="5">
                  <c:v>8.8866792588723261E-3</c:v>
                </c:pt>
                <c:pt idx="6">
                  <c:v>1.071724552420173E-3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DC-4C5A-825D-6E0C4680FAFB}"/>
            </c:ext>
          </c:extLst>
        </c:ser>
        <c:ser>
          <c:idx val="25"/>
          <c:order val="25"/>
          <c:tx>
            <c:strRef>
              <c:f>[1]Bilogito!$AA$178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>
              <a:solidFill>
                <a:schemeClr val="accent1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[1]Bilogito!$AA$179:$AA$185</c:f>
              <c:numCache>
                <c:formatCode>General</c:formatCode>
                <c:ptCount val="7"/>
                <c:pt idx="0">
                  <c:v>6.1964030479404353E-2</c:v>
                </c:pt>
                <c:pt idx="1">
                  <c:v>0.13376605960781504</c:v>
                </c:pt>
                <c:pt idx="2">
                  <c:v>0.11565691033009408</c:v>
                </c:pt>
                <c:pt idx="3">
                  <c:v>7.2976203435075521E-2</c:v>
                </c:pt>
                <c:pt idx="4">
                  <c:v>3.3163897478147332E-2</c:v>
                </c:pt>
                <c:pt idx="5">
                  <c:v>8.6263398940876115E-3</c:v>
                </c:pt>
                <c:pt idx="6">
                  <c:v>1.026368775376045E-3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3DC-4C5A-825D-6E0C4680FAFB}"/>
            </c:ext>
          </c:extLst>
        </c:ser>
        <c:ser>
          <c:idx val="26"/>
          <c:order val="26"/>
          <c:tx>
            <c:strRef>
              <c:f>[1]Bilogito!$AB$178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1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[1]Bilogito!$AB$179:$AB$185</c:f>
              <c:numCache>
                <c:formatCode>General</c:formatCode>
                <c:ptCount val="7"/>
                <c:pt idx="0">
                  <c:v>5.9371291005796432E-2</c:v>
                </c:pt>
                <c:pt idx="1">
                  <c:v>0.1299486496683615</c:v>
                </c:pt>
                <c:pt idx="2">
                  <c:v>0.11309391715017007</c:v>
                </c:pt>
                <c:pt idx="3">
                  <c:v>7.1605464377888339E-2</c:v>
                </c:pt>
                <c:pt idx="4">
                  <c:v>3.260854844052298E-2</c:v>
                </c:pt>
                <c:pt idx="5">
                  <c:v>8.4946196426336756E-3</c:v>
                </c:pt>
                <c:pt idx="6">
                  <c:v>1.0122997146269719E-3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DC-4C5A-825D-6E0C4680FAFB}"/>
            </c:ext>
          </c:extLst>
        </c:ser>
        <c:ser>
          <c:idx val="27"/>
          <c:order val="27"/>
          <c:tx>
            <c:strRef>
              <c:f>[1]Bilogito!$AC$178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1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[1]Bilogito!$AC$179:$AC$185</c:f>
              <c:numCache>
                <c:formatCode>General</c:formatCode>
                <c:ptCount val="7"/>
                <c:pt idx="0">
                  <c:v>5.7295883384055377E-2</c:v>
                </c:pt>
                <c:pt idx="1">
                  <c:v>0.12655352959435495</c:v>
                </c:pt>
                <c:pt idx="2">
                  <c:v>0.11113342120318449</c:v>
                </c:pt>
                <c:pt idx="3">
                  <c:v>7.092345433300129E-2</c:v>
                </c:pt>
                <c:pt idx="4">
                  <c:v>3.2548642695544909E-2</c:v>
                </c:pt>
                <c:pt idx="5">
                  <c:v>8.5526944536430862E-3</c:v>
                </c:pt>
                <c:pt idx="6">
                  <c:v>1.0311243362159635E-3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3DC-4C5A-825D-6E0C4680FAFB}"/>
            </c:ext>
          </c:extLst>
        </c:ser>
        <c:ser>
          <c:idx val="28"/>
          <c:order val="28"/>
          <c:tx>
            <c:strRef>
              <c:f>[1]Bilogito!$AD$178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1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[1]Bilogito!$AD$179:$AD$185</c:f>
              <c:numCache>
                <c:formatCode>General</c:formatCode>
                <c:ptCount val="7"/>
                <c:pt idx="0">
                  <c:v>5.5860448072574939E-2</c:v>
                </c:pt>
                <c:pt idx="1">
                  <c:v>0.12446007477960822</c:v>
                </c:pt>
                <c:pt idx="2">
                  <c:v>0.1106959141418276</c:v>
                </c:pt>
                <c:pt idx="3">
                  <c:v>7.1540492009310355E-2</c:v>
                </c:pt>
                <c:pt idx="4">
                  <c:v>3.3264011015019163E-2</c:v>
                </c:pt>
                <c:pt idx="5">
                  <c:v>8.8736449422682946E-3</c:v>
                </c:pt>
                <c:pt idx="6">
                  <c:v>1.0919750393914502E-3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DC-4C5A-825D-6E0C4680FAFB}"/>
            </c:ext>
          </c:extLst>
        </c:ser>
        <c:ser>
          <c:idx val="29"/>
          <c:order val="29"/>
          <c:tx>
            <c:strRef>
              <c:f>[1]Bilogito!$AE$178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1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[1]Bilogito!$A$179:$A$185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[1]Bilogito!$AE$179:$AE$185</c:f>
              <c:numCache>
                <c:formatCode>General</c:formatCode>
                <c:ptCount val="7"/>
                <c:pt idx="0">
                  <c:v>5.4837066114417819E-2</c:v>
                </c:pt>
                <c:pt idx="1">
                  <c:v>0.12114744133621498</c:v>
                </c:pt>
                <c:pt idx="2">
                  <c:v>0.10959546964026325</c:v>
                </c:pt>
                <c:pt idx="3">
                  <c:v>7.2508705859523764E-2</c:v>
                </c:pt>
                <c:pt idx="4">
                  <c:v>3.4659279403589933E-2</c:v>
                </c:pt>
                <c:pt idx="5">
                  <c:v>9.5643515456245946E-3</c:v>
                </c:pt>
                <c:pt idx="6">
                  <c:v>1.2335861003656711E-3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3DC-4C5A-825D-6E0C4680FAFB}"/>
            </c:ext>
          </c:extLst>
        </c:ser>
        <c:ser>
          <c:idx val="30"/>
          <c:order val="30"/>
          <c:tx>
            <c:strRef>
              <c:f>[1]Bilogito!$B$19</c:f>
              <c:strCache>
                <c:ptCount val="1"/>
                <c:pt idx="0">
                  <c:v>Patrón estándar</c:v>
                </c:pt>
              </c:strCache>
            </c:strRef>
          </c:tx>
          <c:spPr>
            <a:ln w="190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val>
            <c:numRef>
              <c:f>[1]Bilogito!$B$20:$B$26</c:f>
              <c:numCache>
                <c:formatCode>General</c:formatCode>
                <c:ptCount val="7"/>
                <c:pt idx="0">
                  <c:v>7.9988592333333344E-2</c:v>
                </c:pt>
                <c:pt idx="1">
                  <c:v>0.14817534233333332</c:v>
                </c:pt>
                <c:pt idx="2">
                  <c:v>0.1364370603333333</c:v>
                </c:pt>
                <c:pt idx="3">
                  <c:v>9.7618043333333321E-2</c:v>
                </c:pt>
                <c:pt idx="4">
                  <c:v>5.2278704000000016E-2</c:v>
                </c:pt>
                <c:pt idx="5">
                  <c:v>1.6774526666666668E-2</c:v>
                </c:pt>
                <c:pt idx="6">
                  <c:v>2.6848003333333334E-3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3DC-4C5A-825D-6E0C4680F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264703"/>
        <c:axId val="1684265119"/>
      </c:lineChart>
      <c:catAx>
        <c:axId val="168426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265119"/>
        <c:crosses val="autoZero"/>
        <c:auto val="1"/>
        <c:lblAlgn val="ctr"/>
        <c:lblOffset val="100"/>
        <c:noMultiLvlLbl val="0"/>
      </c:catAx>
      <c:valAx>
        <c:axId val="16842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264703"/>
        <c:crosses val="autoZero"/>
        <c:crossBetween val="between"/>
        <c:majorUnit val="2.0000000000000004E-2"/>
        <c:minorUnit val="4.000000000000001E-3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'[1]Proyección TGF'!$B$1</c:f>
              <c:strCache>
                <c:ptCount val="1"/>
                <c:pt idx="0">
                  <c:v>TGF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'[1]Proyección TGF'!$A$2:$A$31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'[1]Proyección TGF'!$B$2:$B$31</c:f>
              <c:numCache>
                <c:formatCode>General</c:formatCode>
                <c:ptCount val="30"/>
                <c:pt idx="0">
                  <c:v>3.6626797500000006</c:v>
                </c:pt>
                <c:pt idx="1">
                  <c:v>3.5791516999999997</c:v>
                </c:pt>
                <c:pt idx="2">
                  <c:v>3.4848344500000001</c:v>
                </c:pt>
                <c:pt idx="3">
                  <c:v>3.38017805</c:v>
                </c:pt>
                <c:pt idx="4">
                  <c:v>3.2714480500000005</c:v>
                </c:pt>
                <c:pt idx="5">
                  <c:v>3.1645916999999999</c:v>
                </c:pt>
                <c:pt idx="6">
                  <c:v>3.0648070499999998</c:v>
                </c:pt>
                <c:pt idx="7">
                  <c:v>2.9862054999999996</c:v>
                </c:pt>
                <c:pt idx="8">
                  <c:v>2.9350868500000002</c:v>
                </c:pt>
                <c:pt idx="9">
                  <c:v>2.9008273499999992</c:v>
                </c:pt>
                <c:pt idx="10">
                  <c:v>2.8531692000000004</c:v>
                </c:pt>
                <c:pt idx="11">
                  <c:v>2.7874788500000003</c:v>
                </c:pt>
                <c:pt idx="12">
                  <c:v>2.7126374500000008</c:v>
                </c:pt>
                <c:pt idx="13">
                  <c:v>2.6462943499999998</c:v>
                </c:pt>
                <c:pt idx="14">
                  <c:v>2.5940224000000001</c:v>
                </c:pt>
                <c:pt idx="15">
                  <c:v>2.5516900499999999</c:v>
                </c:pt>
                <c:pt idx="16">
                  <c:v>2.5166706999999997</c:v>
                </c:pt>
                <c:pt idx="17">
                  <c:v>2.4863510500000006</c:v>
                </c:pt>
                <c:pt idx="18">
                  <c:v>2.4556469500000002</c:v>
                </c:pt>
                <c:pt idx="19">
                  <c:v>2.4188901499999997</c:v>
                </c:pt>
                <c:pt idx="20">
                  <c:v>2.3705194000000001</c:v>
                </c:pt>
                <c:pt idx="21">
                  <c:v>2.3150697999999998</c:v>
                </c:pt>
                <c:pt idx="22">
                  <c:v>2.2586536499999994</c:v>
                </c:pt>
                <c:pt idx="23">
                  <c:v>2.2153562999999998</c:v>
                </c:pt>
                <c:pt idx="24">
                  <c:v>2.1778705999999994</c:v>
                </c:pt>
                <c:pt idx="25">
                  <c:v>2.1358990499999999</c:v>
                </c:pt>
                <c:pt idx="26">
                  <c:v>2.0806739499999996</c:v>
                </c:pt>
                <c:pt idx="27">
                  <c:v>2.0401937500000003</c:v>
                </c:pt>
                <c:pt idx="28">
                  <c:v>2.0289327999999998</c:v>
                </c:pt>
                <c:pt idx="29">
                  <c:v>2.0177295000000002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2-43EB-868F-0498493FCA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6871280"/>
        <c:axId val="1476873680"/>
      </c:lineChart>
      <c:catAx>
        <c:axId val="147687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6873680"/>
        <c:crosses val="autoZero"/>
        <c:auto val="1"/>
        <c:lblAlgn val="ctr"/>
        <c:lblOffset val="100"/>
        <c:noMultiLvlLbl val="0"/>
      </c:catAx>
      <c:valAx>
        <c:axId val="14768736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7687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Tasas específicas de fecundidad ajustadas a nivel nacional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5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Bilogito'!$B$74:$B$80</c:f>
              <c:numCache>
                <c:formatCode>0.0000</c:formatCode>
                <c:ptCount val="7"/>
                <c:pt idx="0">
                  <c:v>9.84239697284746E-2</c:v>
                </c:pt>
                <c:pt idx="1">
                  <c:v>0.18249135201120825</c:v>
                </c:pt>
                <c:pt idx="2">
                  <c:v>0.18223870703855713</c:v>
                </c:pt>
                <c:pt idx="3">
                  <c:v>0.14422733405353019</c:v>
                </c:pt>
                <c:pt idx="4">
                  <c:v>8.6839766635681756E-2</c:v>
                </c:pt>
                <c:pt idx="5">
                  <c:v>3.2075580810994687E-2</c:v>
                </c:pt>
                <c:pt idx="6">
                  <c:v>6.2392397215534053E-3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7-4265-91B1-32249BA456DF}"/>
            </c:ext>
          </c:extLst>
        </c:ser>
        <c:ser>
          <c:idx val="0"/>
          <c:order val="1"/>
          <c:spPr>
            <a:ln w="28575" cap="rnd">
              <a:solidFill>
                <a:schemeClr val="accent5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Bilogito'!$C$74:$C$80</c:f>
              <c:numCache>
                <c:formatCode>0.0000</c:formatCode>
                <c:ptCount val="7"/>
                <c:pt idx="0">
                  <c:v>9.747925177120971E-2</c:v>
                </c:pt>
                <c:pt idx="1">
                  <c:v>0.17987878750194747</c:v>
                </c:pt>
                <c:pt idx="2">
                  <c:v>0.17832151010567299</c:v>
                </c:pt>
                <c:pt idx="3">
                  <c:v>0.14004880642901316</c:v>
                </c:pt>
                <c:pt idx="4">
                  <c:v>8.3628713373231439E-2</c:v>
                </c:pt>
                <c:pt idx="5">
                  <c:v>3.0597675024843323E-2</c:v>
                </c:pt>
                <c:pt idx="6">
                  <c:v>5.8755957940818618E-3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A7-4265-91B1-32249BA456DF}"/>
            </c:ext>
          </c:extLst>
        </c:ser>
        <c:ser>
          <c:idx val="2"/>
          <c:order val="2"/>
          <c:spPr>
            <a:ln w="28575" cap="rnd">
              <a:solidFill>
                <a:schemeClr val="accent5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Bilogito'!$D$74:$D$80</c:f>
              <c:numCache>
                <c:formatCode>0.0000</c:formatCode>
                <c:ptCount val="7"/>
                <c:pt idx="0">
                  <c:v>9.62964775886576E-2</c:v>
                </c:pt>
                <c:pt idx="1">
                  <c:v>0.17646034509565572</c:v>
                </c:pt>
                <c:pt idx="2">
                  <c:v>0.17367971157222276</c:v>
                </c:pt>
                <c:pt idx="3">
                  <c:v>0.1354780642469901</c:v>
                </c:pt>
                <c:pt idx="4">
                  <c:v>8.0339534237256122E-2</c:v>
                </c:pt>
                <c:pt idx="5">
                  <c:v>2.9168793196886079E-2</c:v>
                </c:pt>
                <c:pt idx="6">
                  <c:v>5.5439640623317164E-3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A7-4265-91B1-32249BA456DF}"/>
            </c:ext>
          </c:extLst>
        </c:ser>
        <c:ser>
          <c:idx val="3"/>
          <c:order val="3"/>
          <c:spPr>
            <a:ln w="28575" cap="rnd">
              <a:solidFill>
                <a:schemeClr val="accent5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Bilogito'!$E$74:$E$80</c:f>
              <c:numCache>
                <c:formatCode>0.0000</c:formatCode>
                <c:ptCount val="7"/>
                <c:pt idx="0">
                  <c:v>9.5151377557792502E-2</c:v>
                </c:pt>
                <c:pt idx="1">
                  <c:v>0.17247507931046041</c:v>
                </c:pt>
                <c:pt idx="2">
                  <c:v>0.16833432897464226</c:v>
                </c:pt>
                <c:pt idx="3">
                  <c:v>0.13037881803106616</c:v>
                </c:pt>
                <c:pt idx="4">
                  <c:v>7.6797010404985211E-2</c:v>
                </c:pt>
                <c:pt idx="5">
                  <c:v>2.7685330708107046E-2</c:v>
                </c:pt>
                <c:pt idx="6">
                  <c:v>5.2136650129464054E-3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A7-4265-91B1-32249BA456DF}"/>
            </c:ext>
          </c:extLst>
        </c:ser>
        <c:ser>
          <c:idx val="4"/>
          <c:order val="4"/>
          <c:spPr>
            <a:ln w="28575" cap="rnd">
              <a:solidFill>
                <a:schemeClr val="accent5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Bilogito'!$F$74:$F$80</c:f>
              <c:numCache>
                <c:formatCode>0.0000</c:formatCode>
                <c:ptCount val="7"/>
                <c:pt idx="0">
                  <c:v>9.4071644178998104E-2</c:v>
                </c:pt>
                <c:pt idx="1">
                  <c:v>0.1683111918897118</c:v>
                </c:pt>
                <c:pt idx="2">
                  <c:v>0.16271075876415475</c:v>
                </c:pt>
                <c:pt idx="3">
                  <c:v>0.12503988143023942</c:v>
                </c:pt>
                <c:pt idx="4">
                  <c:v>7.3117927233087146E-2</c:v>
                </c:pt>
                <c:pt idx="5">
                  <c:v>2.6159845549070831E-2</c:v>
                </c:pt>
                <c:pt idx="6">
                  <c:v>4.8783609547380603E-3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A7-4265-91B1-32249BA456DF}"/>
            </c:ext>
          </c:extLst>
        </c:ser>
        <c:ser>
          <c:idx val="5"/>
          <c:order val="5"/>
          <c:spPr>
            <a:ln w="28575" cap="rnd">
              <a:solidFill>
                <a:schemeClr val="accent5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Bilogito'!$G$74:$G$80</c:f>
              <c:numCache>
                <c:formatCode>0.0000</c:formatCode>
                <c:ptCount val="7"/>
                <c:pt idx="0">
                  <c:v>9.2703880063260788E-2</c:v>
                </c:pt>
                <c:pt idx="1">
                  <c:v>0.16412382833379496</c:v>
                </c:pt>
                <c:pt idx="2">
                  <c:v>0.15727421097718572</c:v>
                </c:pt>
                <c:pt idx="3">
                  <c:v>0.11993782810488596</c:v>
                </c:pt>
                <c:pt idx="4">
                  <c:v>6.9613245074797742E-2</c:v>
                </c:pt>
                <c:pt idx="5">
                  <c:v>2.4706514209369E-2</c:v>
                </c:pt>
                <c:pt idx="6">
                  <c:v>4.5588332367058199E-3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A7-4265-91B1-32249BA456DF}"/>
            </c:ext>
          </c:extLst>
        </c:ser>
        <c:ser>
          <c:idx val="6"/>
          <c:order val="6"/>
          <c:spPr>
            <a:ln w="28575" cap="rnd">
              <a:solidFill>
                <a:schemeClr val="accent5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Bilogito'!$H$74:$H$80</c:f>
              <c:numCache>
                <c:formatCode>0.0000</c:formatCode>
                <c:ptCount val="7"/>
                <c:pt idx="0">
                  <c:v>9.1636644552767682E-2</c:v>
                </c:pt>
                <c:pt idx="1">
                  <c:v>0.1602432121929358</c:v>
                </c:pt>
                <c:pt idx="2">
                  <c:v>0.15210852940645758</c:v>
                </c:pt>
                <c:pt idx="3">
                  <c:v>0.11507907924771832</c:v>
                </c:pt>
                <c:pt idx="4">
                  <c:v>6.6291568981138818E-2</c:v>
                </c:pt>
                <c:pt idx="5">
                  <c:v>2.3340332870299255E-2</c:v>
                </c:pt>
                <c:pt idx="6">
                  <c:v>4.2620427486824864E-3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A7-4265-91B1-32249BA456DF}"/>
            </c:ext>
          </c:extLst>
        </c:ser>
        <c:ser>
          <c:idx val="7"/>
          <c:order val="7"/>
          <c:spPr>
            <a:ln w="28575" cap="rnd">
              <a:solidFill>
                <a:schemeClr val="accent5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Bilogito'!$I$74:$I$80</c:f>
              <c:numCache>
                <c:formatCode>0.0000</c:formatCode>
                <c:ptCount val="7"/>
                <c:pt idx="0">
                  <c:v>9.0458034124576842E-2</c:v>
                </c:pt>
                <c:pt idx="1">
                  <c:v>0.15761861858419973</c:v>
                </c:pt>
                <c:pt idx="2">
                  <c:v>0.14840241533502713</c:v>
                </c:pt>
                <c:pt idx="3">
                  <c:v>0.11126415124525757</c:v>
                </c:pt>
                <c:pt idx="4">
                  <c:v>6.3452784866287734E-2</c:v>
                </c:pt>
                <c:pt idx="5">
                  <c:v>2.2078426276634228E-2</c:v>
                </c:pt>
                <c:pt idx="6">
                  <c:v>3.9666695680166406E-3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A7-4265-91B1-32249BA456DF}"/>
            </c:ext>
          </c:extLst>
        </c:ser>
        <c:ser>
          <c:idx val="8"/>
          <c:order val="8"/>
          <c:spPr>
            <a:ln w="28575" cap="rnd">
              <a:solidFill>
                <a:schemeClr val="accent5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Bilogito'!$J$74:$J$80</c:f>
              <c:numCache>
                <c:formatCode>0.0000</c:formatCode>
                <c:ptCount val="7"/>
                <c:pt idx="0">
                  <c:v>8.9097290781378652E-2</c:v>
                </c:pt>
                <c:pt idx="1">
                  <c:v>0.15681774863501829</c:v>
                </c:pt>
                <c:pt idx="2">
                  <c:v>0.14668912667472209</c:v>
                </c:pt>
                <c:pt idx="3">
                  <c:v>0.10875078607866986</c:v>
                </c:pt>
                <c:pt idx="4">
                  <c:v>6.112601004444089E-2</c:v>
                </c:pt>
                <c:pt idx="5">
                  <c:v>2.0881406217943606E-2</c:v>
                </c:pt>
                <c:pt idx="6">
                  <c:v>3.6550015678267966E-3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A7-4265-91B1-32249BA456DF}"/>
            </c:ext>
          </c:extLst>
        </c:ser>
        <c:ser>
          <c:idx val="9"/>
          <c:order val="9"/>
          <c:spPr>
            <a:ln w="28575" cap="rnd">
              <a:solidFill>
                <a:schemeClr val="accent5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Bilogito'!$K$74:$K$80</c:f>
              <c:numCache>
                <c:formatCode>0.0000</c:formatCode>
                <c:ptCount val="7"/>
                <c:pt idx="0">
                  <c:v>8.7484099243796118E-2</c:v>
                </c:pt>
                <c:pt idx="1">
                  <c:v>0.15732347424316778</c:v>
                </c:pt>
                <c:pt idx="2">
                  <c:v>0.14633445843946316</c:v>
                </c:pt>
                <c:pt idx="3">
                  <c:v>0.1070108161497948</c:v>
                </c:pt>
                <c:pt idx="4">
                  <c:v>5.9019394079487031E-2</c:v>
                </c:pt>
                <c:pt idx="5">
                  <c:v>1.9670000322746076E-2</c:v>
                </c:pt>
                <c:pt idx="6">
                  <c:v>3.3232275215449893E-3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A7-4265-91B1-32249BA456DF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Bilogito'!$L$74:$L$80</c:f>
              <c:numCache>
                <c:formatCode>0.0000</c:formatCode>
                <c:ptCount val="7"/>
                <c:pt idx="0">
                  <c:v>8.5709125397569808E-2</c:v>
                </c:pt>
                <c:pt idx="1">
                  <c:v>0.15693328514119848</c:v>
                </c:pt>
                <c:pt idx="2">
                  <c:v>0.14507903796517219</c:v>
                </c:pt>
                <c:pt idx="3">
                  <c:v>0.10469727800685094</c:v>
                </c:pt>
                <c:pt idx="4">
                  <c:v>5.6721591937788453E-2</c:v>
                </c:pt>
                <c:pt idx="5">
                  <c:v>1.8473391776410181E-2</c:v>
                </c:pt>
                <c:pt idx="6">
                  <c:v>3.0201297750100655E-3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A7-4265-91B1-32249BA456DF}"/>
            </c:ext>
          </c:extLst>
        </c:ser>
        <c:ser>
          <c:idx val="11"/>
          <c:order val="11"/>
          <c:spPr>
            <a:ln w="2857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Bilogito'!$M$74:$M$80</c:f>
              <c:numCache>
                <c:formatCode>0.0000</c:formatCode>
                <c:ptCount val="7"/>
                <c:pt idx="0">
                  <c:v>8.3868113866354704E-2</c:v>
                </c:pt>
                <c:pt idx="1">
                  <c:v>0.15507154680246565</c:v>
                </c:pt>
                <c:pt idx="2">
                  <c:v>0.14243851848122033</c:v>
                </c:pt>
                <c:pt idx="3">
                  <c:v>0.10166500349657522</c:v>
                </c:pt>
                <c:pt idx="4">
                  <c:v>5.4307721667246511E-2</c:v>
                </c:pt>
                <c:pt idx="5">
                  <c:v>1.7374922335170871E-2</c:v>
                </c:pt>
                <c:pt idx="6">
                  <c:v>2.7699433509668055E-3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A7-4265-91B1-32249BA456DF}"/>
            </c:ext>
          </c:extLst>
        </c:ser>
        <c:ser>
          <c:idx val="12"/>
          <c:order val="12"/>
          <c:spPr>
            <a:ln w="28575" cap="rnd">
              <a:solidFill>
                <a:schemeClr val="accent5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Bilogito'!$N$74:$N$80</c:f>
              <c:numCache>
                <c:formatCode>0.0000</c:formatCode>
                <c:ptCount val="7"/>
                <c:pt idx="0">
                  <c:v>8.1857637074087455E-2</c:v>
                </c:pt>
                <c:pt idx="1">
                  <c:v>0.15231295429017627</c:v>
                </c:pt>
                <c:pt idx="2">
                  <c:v>0.1390923710579475</c:v>
                </c:pt>
                <c:pt idx="3">
                  <c:v>9.8370859106649708E-2</c:v>
                </c:pt>
                <c:pt idx="4">
                  <c:v>5.1949759307975643E-2</c:v>
                </c:pt>
                <c:pt idx="5">
                  <c:v>1.6384055360558234E-2</c:v>
                </c:pt>
                <c:pt idx="6">
                  <c:v>2.559853802605162E-3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A7-4265-91B1-32249BA456DF}"/>
            </c:ext>
          </c:extLst>
        </c:ser>
        <c:ser>
          <c:idx val="13"/>
          <c:order val="13"/>
          <c:spPr>
            <a:ln w="2857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Bilogito'!$O$74:$O$80</c:f>
              <c:numCache>
                <c:formatCode>0.0000</c:formatCode>
                <c:ptCount val="7"/>
                <c:pt idx="0">
                  <c:v>7.9304008790863148E-2</c:v>
                </c:pt>
                <c:pt idx="1">
                  <c:v>0.14998133409466216</c:v>
                </c:pt>
                <c:pt idx="2">
                  <c:v>0.13653274461899903</c:v>
                </c:pt>
                <c:pt idx="3">
                  <c:v>9.5694962955817822E-2</c:v>
                </c:pt>
                <c:pt idx="4">
                  <c:v>4.9903236656354606E-2</c:v>
                </c:pt>
                <c:pt idx="5">
                  <c:v>1.5480457163543996E-2</c:v>
                </c:pt>
                <c:pt idx="6">
                  <c:v>2.3621257197593065E-3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A7-4265-91B1-32249BA456DF}"/>
            </c:ext>
          </c:extLst>
        </c:ser>
        <c:ser>
          <c:idx val="14"/>
          <c:order val="14"/>
          <c:spPr>
            <a:ln w="28575" cap="rnd">
              <a:solidFill>
                <a:schemeClr val="accent5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Bilogito'!$P$74:$P$80</c:f>
              <c:numCache>
                <c:formatCode>0.0000</c:formatCode>
                <c:ptCount val="7"/>
                <c:pt idx="0">
                  <c:v>7.6777905339729002E-2</c:v>
                </c:pt>
                <c:pt idx="1">
                  <c:v>0.14850311092769128</c:v>
                </c:pt>
                <c:pt idx="2">
                  <c:v>0.13490543700622409</c:v>
                </c:pt>
                <c:pt idx="3">
                  <c:v>9.3643296226531808E-2</c:v>
                </c:pt>
                <c:pt idx="4">
                  <c:v>4.8144247332866763E-2</c:v>
                </c:pt>
                <c:pt idx="5">
                  <c:v>1.4654469814153118E-2</c:v>
                </c:pt>
                <c:pt idx="6">
                  <c:v>2.1760133528039688E-3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A7-4265-91B1-32249BA456DF}"/>
            </c:ext>
          </c:extLst>
        </c:ser>
        <c:ser>
          <c:idx val="15"/>
          <c:order val="15"/>
          <c:spPr>
            <a:ln w="28575" cap="rnd">
              <a:solidFill>
                <a:schemeClr val="accent5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Bilogito'!$Q$74:$Q$80</c:f>
              <c:numCache>
                <c:formatCode>0.0000</c:formatCode>
                <c:ptCount val="7"/>
                <c:pt idx="0">
                  <c:v>7.4871998378414545E-2</c:v>
                </c:pt>
                <c:pt idx="1">
                  <c:v>0.14736359418411127</c:v>
                </c:pt>
                <c:pt idx="2">
                  <c:v>0.13353435452951246</c:v>
                </c:pt>
                <c:pt idx="3">
                  <c:v>9.1894798455185639E-2</c:v>
                </c:pt>
                <c:pt idx="4">
                  <c:v>4.6668405845286948E-2</c:v>
                </c:pt>
                <c:pt idx="5">
                  <c:v>1.3976975309344502E-2</c:v>
                </c:pt>
                <c:pt idx="6">
                  <c:v>2.027883298144603E-3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A7-4265-91B1-32249BA456DF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Bilogito'!$R$74:$R$80</c:f>
              <c:numCache>
                <c:formatCode>0.0000</c:formatCode>
                <c:ptCount val="7"/>
                <c:pt idx="0">
                  <c:v>7.3850538675935759E-2</c:v>
                </c:pt>
                <c:pt idx="1">
                  <c:v>0.14649308372161621</c:v>
                </c:pt>
                <c:pt idx="2">
                  <c:v>0.13213988673335689</c:v>
                </c:pt>
                <c:pt idx="3">
                  <c:v>9.0201855267592362E-2</c:v>
                </c:pt>
                <c:pt idx="4">
                  <c:v>4.5337662676966352E-2</c:v>
                </c:pt>
                <c:pt idx="5">
                  <c:v>1.3402097935874499E-2</c:v>
                </c:pt>
                <c:pt idx="6">
                  <c:v>1.9090149886578684E-3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A7-4265-91B1-32249BA456DF}"/>
            </c:ext>
          </c:extLst>
        </c:ser>
        <c:ser>
          <c:idx val="17"/>
          <c:order val="17"/>
          <c:spPr>
            <a:ln w="28575" cap="rnd">
              <a:solidFill>
                <a:schemeClr val="accent5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Bilogito'!$S$74:$S$80</c:f>
              <c:numCache>
                <c:formatCode>0.0000</c:formatCode>
                <c:ptCount val="7"/>
                <c:pt idx="0">
                  <c:v>7.3403003145831952E-2</c:v>
                </c:pt>
                <c:pt idx="1">
                  <c:v>0.14595955750631354</c:v>
                </c:pt>
                <c:pt idx="2">
                  <c:v>0.13078289320612652</c:v>
                </c:pt>
                <c:pt idx="3">
                  <c:v>8.8480846527682608E-2</c:v>
                </c:pt>
                <c:pt idx="4">
                  <c:v>4.4005753115833934E-2</c:v>
                </c:pt>
                <c:pt idx="5">
                  <c:v>1.284152770327035E-2</c:v>
                </c:pt>
                <c:pt idx="6">
                  <c:v>1.7966287949412649E-3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A7-4265-91B1-32249BA456DF}"/>
            </c:ext>
          </c:extLst>
        </c:ser>
        <c:ser>
          <c:idx val="18"/>
          <c:order val="18"/>
          <c:spPr>
            <a:ln w="28575" cap="rnd">
              <a:solidFill>
                <a:schemeClr val="accent5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Bilogito'!$T$74:$T$80</c:f>
              <c:numCache>
                <c:formatCode>0.0000</c:formatCode>
                <c:ptCount val="7"/>
                <c:pt idx="0">
                  <c:v>7.3161867865749949E-2</c:v>
                </c:pt>
                <c:pt idx="1">
                  <c:v>0.14564916431371133</c:v>
                </c:pt>
                <c:pt idx="2">
                  <c:v>0.1293680076335631</c:v>
                </c:pt>
                <c:pt idx="3">
                  <c:v>8.6561307444435007E-2</c:v>
                </c:pt>
                <c:pt idx="4">
                  <c:v>4.2504219382002849E-2</c:v>
                </c:pt>
                <c:pt idx="5">
                  <c:v>1.2212518727829483E-2</c:v>
                </c:pt>
                <c:pt idx="6">
                  <c:v>1.6723046327083092E-3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A7-4265-91B1-32249BA456DF}"/>
            </c:ext>
          </c:extLst>
        </c:ser>
        <c:ser>
          <c:idx val="19"/>
          <c:order val="19"/>
          <c:spPr>
            <a:ln w="28575" cap="rnd">
              <a:solidFill>
                <a:schemeClr val="accent5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Bilogito'!$U$74:$U$80</c:f>
              <c:numCache>
                <c:formatCode>0.0000</c:formatCode>
                <c:ptCount val="7"/>
                <c:pt idx="0">
                  <c:v>7.2825048420449401E-2</c:v>
                </c:pt>
                <c:pt idx="1">
                  <c:v>0.14515423854940093</c:v>
                </c:pt>
                <c:pt idx="2">
                  <c:v>0.12762887476147078</c:v>
                </c:pt>
                <c:pt idx="3">
                  <c:v>8.4317247705834972E-2</c:v>
                </c:pt>
                <c:pt idx="4">
                  <c:v>4.0798734070770129E-2</c:v>
                </c:pt>
                <c:pt idx="5">
                  <c:v>1.1515482917625405E-2</c:v>
                </c:pt>
                <c:pt idx="6">
                  <c:v>1.5384035744483364E-3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AA7-4265-91B1-32249BA456DF}"/>
            </c:ext>
          </c:extLst>
        </c:ser>
        <c:ser>
          <c:idx val="20"/>
          <c:order val="20"/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Bilogito'!$V$74:$V$80</c:f>
              <c:numCache>
                <c:formatCode>0.0000</c:formatCode>
                <c:ptCount val="7"/>
                <c:pt idx="0">
                  <c:v>7.2312199927849055E-2</c:v>
                </c:pt>
                <c:pt idx="1">
                  <c:v>0.14375586286123695</c:v>
                </c:pt>
                <c:pt idx="2">
                  <c:v>0.12509553452591343</c:v>
                </c:pt>
                <c:pt idx="3">
                  <c:v>8.1675939085551388E-2</c:v>
                </c:pt>
                <c:pt idx="4">
                  <c:v>3.9007450216999272E-2</c:v>
                </c:pt>
                <c:pt idx="5">
                  <c:v>1.0839549351160129E-2</c:v>
                </c:pt>
                <c:pt idx="6">
                  <c:v>1.4173440312897666E-3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AA7-4265-91B1-32249BA456DF}"/>
            </c:ext>
          </c:extLst>
        </c:ser>
        <c:ser>
          <c:idx val="21"/>
          <c:order val="21"/>
          <c:spPr>
            <a:ln w="28575" cap="rnd">
              <a:solidFill>
                <a:schemeClr val="accent5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Bilogito'!$W$74:$W$80</c:f>
              <c:numCache>
                <c:formatCode>0.0000</c:formatCode>
                <c:ptCount val="7"/>
                <c:pt idx="0">
                  <c:v>7.1278455831868662E-2</c:v>
                </c:pt>
                <c:pt idx="1">
                  <c:v>0.14150014166340283</c:v>
                </c:pt>
                <c:pt idx="2">
                  <c:v>0.12218781953153487</c:v>
                </c:pt>
                <c:pt idx="3">
                  <c:v>7.9070606316037725E-2</c:v>
                </c:pt>
                <c:pt idx="4">
                  <c:v>3.7389509005544629E-2</c:v>
                </c:pt>
                <c:pt idx="5">
                  <c:v>1.0266856010978643E-2</c:v>
                </c:pt>
                <c:pt idx="6">
                  <c:v>1.3205716406325778E-3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AA7-4265-91B1-32249BA456DF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Bilogito'!$X$74:$X$80</c:f>
              <c:numCache>
                <c:formatCode>0.0000</c:formatCode>
                <c:ptCount val="7"/>
                <c:pt idx="0">
                  <c:v>6.9604466483790123E-2</c:v>
                </c:pt>
                <c:pt idx="1">
                  <c:v>0.13897799609578113</c:v>
                </c:pt>
                <c:pt idx="2">
                  <c:v>0.11946109261812918</c:v>
                </c:pt>
                <c:pt idx="3">
                  <c:v>7.6737082959457026E-2</c:v>
                </c:pt>
                <c:pt idx="4">
                  <c:v>3.5954987166030475E-2</c:v>
                </c:pt>
                <c:pt idx="5">
                  <c:v>9.7598676715141483E-3</c:v>
                </c:pt>
                <c:pt idx="6">
                  <c:v>1.235237005297799E-3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AA7-4265-91B1-32249BA456DF}"/>
            </c:ext>
          </c:extLst>
        </c:ser>
        <c:ser>
          <c:idx val="23"/>
          <c:order val="23"/>
          <c:spPr>
            <a:ln w="28575" cap="rnd">
              <a:solidFill>
                <a:schemeClr val="accent5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Bilogito'!$Y$74:$Y$80</c:f>
              <c:numCache>
                <c:formatCode>0.0000</c:formatCode>
                <c:ptCount val="7"/>
                <c:pt idx="0">
                  <c:v>6.719098262121817E-2</c:v>
                </c:pt>
                <c:pt idx="1">
                  <c:v>0.13737919890401667</c:v>
                </c:pt>
                <c:pt idx="2">
                  <c:v>0.1180358068284669</c:v>
                </c:pt>
                <c:pt idx="3">
                  <c:v>7.5212608513793328E-2</c:v>
                </c:pt>
                <c:pt idx="4">
                  <c:v>3.4810553455446744E-2</c:v>
                </c:pt>
                <c:pt idx="5">
                  <c:v>9.2935990474302069E-3</c:v>
                </c:pt>
                <c:pt idx="6">
                  <c:v>1.1485106296279346E-3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AA7-4265-91B1-32249BA456DF}"/>
            </c:ext>
          </c:extLst>
        </c:ser>
        <c:ser>
          <c:idx val="24"/>
          <c:order val="24"/>
          <c:spPr>
            <a:ln w="28575" cap="rnd">
              <a:solidFill>
                <a:schemeClr val="accent5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Bilogito'!$Z$74:$Z$80</c:f>
              <c:numCache>
                <c:formatCode>0.0000</c:formatCode>
                <c:ptCount val="7"/>
                <c:pt idx="0">
                  <c:v>6.4617463795960201E-2</c:v>
                </c:pt>
                <c:pt idx="1">
                  <c:v>0.13603231014119274</c:v>
                </c:pt>
                <c:pt idx="2">
                  <c:v>0.1170666077753006</c:v>
                </c:pt>
                <c:pt idx="3">
                  <c:v>7.40453133851951E-2</c:v>
                </c:pt>
                <c:pt idx="4">
                  <c:v>3.3854021091059006E-2</c:v>
                </c:pt>
                <c:pt idx="5">
                  <c:v>8.886679258872085E-3</c:v>
                </c:pt>
                <c:pt idx="6">
                  <c:v>1.0717245524202214E-3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AA7-4265-91B1-32249BA456DF}"/>
            </c:ext>
          </c:extLst>
        </c:ser>
        <c:ser>
          <c:idx val="25"/>
          <c:order val="25"/>
          <c:spPr>
            <a:ln w="28575" cap="rnd">
              <a:solidFill>
                <a:schemeClr val="accent5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Bilogito'!$AA$74:$AA$80</c:f>
              <c:numCache>
                <c:formatCode>0.0000</c:formatCode>
                <c:ptCount val="7"/>
                <c:pt idx="0">
                  <c:v>6.1964030479403277E-2</c:v>
                </c:pt>
                <c:pt idx="1">
                  <c:v>0.13376605960781612</c:v>
                </c:pt>
                <c:pt idx="2">
                  <c:v>0.11565691033009493</c:v>
                </c:pt>
                <c:pt idx="3">
                  <c:v>7.2976203435075479E-2</c:v>
                </c:pt>
                <c:pt idx="4">
                  <c:v>3.3163897478146714E-2</c:v>
                </c:pt>
                <c:pt idx="5">
                  <c:v>8.6263398940873738E-3</c:v>
                </c:pt>
                <c:pt idx="6">
                  <c:v>1.0263687753760925E-3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AA7-4265-91B1-32249BA456DF}"/>
            </c:ext>
          </c:extLst>
        </c:ser>
        <c:ser>
          <c:idx val="26"/>
          <c:order val="26"/>
          <c:spPr>
            <a:ln w="28575" cap="rnd">
              <a:solidFill>
                <a:schemeClr val="accent5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Bilogito'!$AB$74:$AB$80</c:f>
              <c:numCache>
                <c:formatCode>0.0000</c:formatCode>
                <c:ptCount val="7"/>
                <c:pt idx="0">
                  <c:v>5.9371291005794337E-2</c:v>
                </c:pt>
                <c:pt idx="1">
                  <c:v>0.12994864966836367</c:v>
                </c:pt>
                <c:pt idx="2">
                  <c:v>0.11309391715017178</c:v>
                </c:pt>
                <c:pt idx="3">
                  <c:v>7.1605464377888159E-2</c:v>
                </c:pt>
                <c:pt idx="4">
                  <c:v>3.260854844052196E-2</c:v>
                </c:pt>
                <c:pt idx="5">
                  <c:v>8.4946196426331673E-3</c:v>
                </c:pt>
                <c:pt idx="6">
                  <c:v>1.0122997146269257E-3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AA7-4265-91B1-32249BA456DF}"/>
            </c:ext>
          </c:extLst>
        </c:ser>
        <c:ser>
          <c:idx val="27"/>
          <c:order val="27"/>
          <c:spPr>
            <a:ln w="28575" cap="rnd">
              <a:solidFill>
                <a:schemeClr val="accent5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Bilogito'!$AC$74:$AC$80</c:f>
              <c:numCache>
                <c:formatCode>0.0000</c:formatCode>
                <c:ptCount val="7"/>
                <c:pt idx="0">
                  <c:v>5.7295883384054405E-2</c:v>
                </c:pt>
                <c:pt idx="1">
                  <c:v>0.12655352959435592</c:v>
                </c:pt>
                <c:pt idx="2">
                  <c:v>0.11113342120318528</c:v>
                </c:pt>
                <c:pt idx="3">
                  <c:v>7.0923454333001193E-2</c:v>
                </c:pt>
                <c:pt idx="4">
                  <c:v>3.2548642695544368E-2</c:v>
                </c:pt>
                <c:pt idx="5">
                  <c:v>8.552694453642859E-3</c:v>
                </c:pt>
                <c:pt idx="6">
                  <c:v>1.0311243362160088E-3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AA7-4265-91B1-32249BA456DF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Bilogito'!$AD$74:$AD$80</c:f>
              <c:numCache>
                <c:formatCode>0.0000</c:formatCode>
                <c:ptCount val="7"/>
                <c:pt idx="0">
                  <c:v>5.5860448072573919E-2</c:v>
                </c:pt>
                <c:pt idx="1">
                  <c:v>0.12446007477960926</c:v>
                </c:pt>
                <c:pt idx="2">
                  <c:v>0.11069591414182844</c:v>
                </c:pt>
                <c:pt idx="3">
                  <c:v>7.1540492009310314E-2</c:v>
                </c:pt>
                <c:pt idx="4">
                  <c:v>3.3264011015018531E-2</c:v>
                </c:pt>
                <c:pt idx="5">
                  <c:v>8.8736449422680691E-3</c:v>
                </c:pt>
                <c:pt idx="6">
                  <c:v>1.0919750393914951E-3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AA7-4265-91B1-32249BA456DF}"/>
            </c:ext>
          </c:extLst>
        </c:ser>
        <c:ser>
          <c:idx val="29"/>
          <c:order val="29"/>
          <c:spPr>
            <a:ln w="28575" cap="rnd">
              <a:solidFill>
                <a:srgbClr val="FC6AE0"/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Bilogito'!$AE$74:$AE$80</c:f>
              <c:numCache>
                <c:formatCode>0.0000</c:formatCode>
                <c:ptCount val="7"/>
                <c:pt idx="0">
                  <c:v>5.4837066114416841E-2</c:v>
                </c:pt>
                <c:pt idx="1">
                  <c:v>0.12114744133621599</c:v>
                </c:pt>
                <c:pt idx="2">
                  <c:v>0.10959546964026408</c:v>
                </c:pt>
                <c:pt idx="3">
                  <c:v>7.2508705859523764E-2</c:v>
                </c:pt>
                <c:pt idx="4">
                  <c:v>3.465927940358926E-2</c:v>
                </c:pt>
                <c:pt idx="5">
                  <c:v>9.5643515456243725E-3</c:v>
                </c:pt>
                <c:pt idx="6">
                  <c:v>1.2335861003657162E-3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AA7-4265-91B1-32249BA456DF}"/>
            </c:ext>
          </c:extLst>
        </c:ser>
        <c:ser>
          <c:idx val="30"/>
          <c:order val="30"/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Bilogito'!$AF$74:$AF$80</c:f>
              <c:numCache>
                <c:formatCode>0.0000</c:formatCode>
                <c:ptCount val="7"/>
                <c:pt idx="0">
                  <c:v>5.8624066578103262E-2</c:v>
                </c:pt>
                <c:pt idx="1">
                  <c:v>0.12760170998800766</c:v>
                </c:pt>
                <c:pt idx="2">
                  <c:v>0.10784149787275861</c:v>
                </c:pt>
                <c:pt idx="3">
                  <c:v>6.6025928367103803E-2</c:v>
                </c:pt>
                <c:pt idx="4">
                  <c:v>2.8971995521692356E-2</c:v>
                </c:pt>
                <c:pt idx="5">
                  <c:v>7.2191982959961985E-3</c:v>
                </c:pt>
                <c:pt idx="6">
                  <c:v>8.0924895904412758E-4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AA7-4265-91B1-32249BA456DF}"/>
            </c:ext>
          </c:extLst>
        </c:ser>
        <c:ser>
          <c:idx val="31"/>
          <c:order val="31"/>
          <c:spPr>
            <a:ln w="28575" cap="rnd">
              <a:solidFill>
                <a:schemeClr val="accent5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Bilogito'!$AG$74:$AG$80</c:f>
              <c:numCache>
                <c:formatCode>0.0000</c:formatCode>
                <c:ptCount val="7"/>
                <c:pt idx="0">
                  <c:v>5.7387335469238333E-2</c:v>
                </c:pt>
                <c:pt idx="1">
                  <c:v>0.12574623459509518</c:v>
                </c:pt>
                <c:pt idx="2">
                  <c:v>0.10571850463143613</c:v>
                </c:pt>
                <c:pt idx="3">
                  <c:v>6.4182135256837192E-2</c:v>
                </c:pt>
                <c:pt idx="4">
                  <c:v>2.7872579940496283E-2</c:v>
                </c:pt>
                <c:pt idx="5">
                  <c:v>6.8554804656227137E-3</c:v>
                </c:pt>
                <c:pt idx="6">
                  <c:v>7.5462156350015986E-4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AA7-4265-91B1-32249BA456DF}"/>
            </c:ext>
          </c:extLst>
        </c:ser>
        <c:ser>
          <c:idx val="32"/>
          <c:order val="32"/>
          <c:spPr>
            <a:ln w="28575" cap="rnd">
              <a:solidFill>
                <a:schemeClr val="accent5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Bilogito'!$AH$74:$AH$80</c:f>
              <c:numCache>
                <c:formatCode>0.0000</c:formatCode>
                <c:ptCount val="7"/>
                <c:pt idx="0">
                  <c:v>5.6356518185627438E-2</c:v>
                </c:pt>
                <c:pt idx="1">
                  <c:v>0.12430651389426524</c:v>
                </c:pt>
                <c:pt idx="2">
                  <c:v>0.1039598784133593</c:v>
                </c:pt>
                <c:pt idx="3">
                  <c:v>6.2583918830455235E-2</c:v>
                </c:pt>
                <c:pt idx="4">
                  <c:v>2.6898830581641092E-2</c:v>
                </c:pt>
                <c:pt idx="5">
                  <c:v>6.5306421866479477E-3</c:v>
                </c:pt>
                <c:pt idx="6">
                  <c:v>7.0593274876379125E-4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AA7-4265-91B1-32249BA456DF}"/>
            </c:ext>
          </c:extLst>
        </c:ser>
        <c:ser>
          <c:idx val="33"/>
          <c:order val="33"/>
          <c:spPr>
            <a:ln w="28575" cap="rnd">
              <a:solidFill>
                <a:schemeClr val="accent5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Bilogito'!$AI$74:$AI$80</c:f>
              <c:numCache>
                <c:formatCode>0.0000</c:formatCode>
                <c:ptCount val="7"/>
                <c:pt idx="0">
                  <c:v>5.5632477275654867E-2</c:v>
                </c:pt>
                <c:pt idx="1">
                  <c:v>0.12351556724128158</c:v>
                </c:pt>
                <c:pt idx="2">
                  <c:v>0.10275402395111841</c:v>
                </c:pt>
                <c:pt idx="3">
                  <c:v>6.1337927495683363E-2</c:v>
                </c:pt>
                <c:pt idx="4">
                  <c:v>2.6092511647845186E-2</c:v>
                </c:pt>
                <c:pt idx="5">
                  <c:v>6.2533332392475712E-3</c:v>
                </c:pt>
                <c:pt idx="6">
                  <c:v>6.6382366366702782E-4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AA7-4265-91B1-32249BA456DF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Bilogito'!$AJ$74:$AJ$80</c:f>
              <c:numCache>
                <c:formatCode>0.0000</c:formatCode>
                <c:ptCount val="7"/>
                <c:pt idx="0">
                  <c:v>5.499647939320873E-2</c:v>
                </c:pt>
                <c:pt idx="1">
                  <c:v>0.12289800567383773</c:v>
                </c:pt>
                <c:pt idx="2">
                  <c:v>0.10169903095455327</c:v>
                </c:pt>
                <c:pt idx="3">
                  <c:v>6.0197699896212008E-2</c:v>
                </c:pt>
                <c:pt idx="4">
                  <c:v>2.5344942747728381E-2</c:v>
                </c:pt>
                <c:pt idx="5">
                  <c:v>5.9961359963667648E-3</c:v>
                </c:pt>
                <c:pt idx="6">
                  <c:v>6.2512022095913148E-4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AA7-4265-91B1-32249BA456DF}"/>
            </c:ext>
          </c:extLst>
        </c:ser>
        <c:ser>
          <c:idx val="35"/>
          <c:order val="35"/>
          <c:spPr>
            <a:ln w="2857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Bilogito'!$AK$74:$AK$80</c:f>
              <c:numCache>
                <c:formatCode>0.0000</c:formatCode>
                <c:ptCount val="7"/>
                <c:pt idx="0">
                  <c:v>5.4275578066412741E-2</c:v>
                </c:pt>
                <c:pt idx="1">
                  <c:v>0.12206873797854019</c:v>
                </c:pt>
                <c:pt idx="2">
                  <c:v>0.1004756915381356</c:v>
                </c:pt>
                <c:pt idx="3">
                  <c:v>5.8973457290354955E-2</c:v>
                </c:pt>
                <c:pt idx="4">
                  <c:v>2.4575428538702947E-2</c:v>
                </c:pt>
                <c:pt idx="5">
                  <c:v>5.739536891540829E-3</c:v>
                </c:pt>
                <c:pt idx="6">
                  <c:v>5.8767424551672853E-4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AA7-4265-91B1-32249BA456DF}"/>
            </c:ext>
          </c:extLst>
        </c:ser>
        <c:ser>
          <c:idx val="36"/>
          <c:order val="36"/>
          <c:spPr>
            <a:ln w="28575" cap="rnd">
              <a:solidFill>
                <a:schemeClr val="accent5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Bilogito'!$AL$74:$AL$80</c:f>
              <c:numCache>
                <c:formatCode>0.0000</c:formatCode>
                <c:ptCount val="7"/>
                <c:pt idx="0">
                  <c:v>5.3501817757443816E-2</c:v>
                </c:pt>
                <c:pt idx="1">
                  <c:v>0.12109669755776227</c:v>
                </c:pt>
                <c:pt idx="2">
                  <c:v>9.914328566424703E-2</c:v>
                </c:pt>
                <c:pt idx="3">
                  <c:v>5.7702043494075483E-2</c:v>
                </c:pt>
                <c:pt idx="4">
                  <c:v>2.3800015526013369E-2</c:v>
                </c:pt>
                <c:pt idx="5">
                  <c:v>5.487310664562422E-3</c:v>
                </c:pt>
                <c:pt idx="6">
                  <c:v>5.5182774856563847E-4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A7-4265-91B1-32249BA456DF}"/>
            </c:ext>
          </c:extLst>
        </c:ser>
        <c:ser>
          <c:idx val="37"/>
          <c:order val="37"/>
          <c:spPr>
            <a:ln w="28575" cap="rnd">
              <a:solidFill>
                <a:schemeClr val="accent5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Bilogito'!$AM$74:$AM$80</c:f>
              <c:numCache>
                <c:formatCode>0.0000</c:formatCode>
                <c:ptCount val="7"/>
                <c:pt idx="0">
                  <c:v>5.278872638768696E-2</c:v>
                </c:pt>
                <c:pt idx="1">
                  <c:v>0.12023827370179878</c:v>
                </c:pt>
                <c:pt idx="2">
                  <c:v>9.7912523062280432E-2</c:v>
                </c:pt>
                <c:pt idx="3">
                  <c:v>5.6506491913120696E-2</c:v>
                </c:pt>
                <c:pt idx="4">
                  <c:v>2.3069296186660766E-2</c:v>
                </c:pt>
                <c:pt idx="5">
                  <c:v>5.2509032916537831E-3</c:v>
                </c:pt>
                <c:pt idx="6">
                  <c:v>5.1865464317257782E-4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AA7-4265-91B1-32249BA456DF}"/>
            </c:ext>
          </c:extLst>
        </c:ser>
        <c:ser>
          <c:idx val="38"/>
          <c:order val="38"/>
          <c:spPr>
            <a:ln w="28575" cap="rnd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Bilogito'!$AN$74:$AN$80</c:f>
              <c:numCache>
                <c:formatCode>0.0000</c:formatCode>
                <c:ptCount val="7"/>
                <c:pt idx="0">
                  <c:v>5.2177827403628738E-2</c:v>
                </c:pt>
                <c:pt idx="1">
                  <c:v>0.11959131719303753</c:v>
                </c:pt>
                <c:pt idx="2">
                  <c:v>9.686120232794948E-2</c:v>
                </c:pt>
                <c:pt idx="3">
                  <c:v>5.5429659117037913E-2</c:v>
                </c:pt>
                <c:pt idx="4">
                  <c:v>2.2399408455102462E-2</c:v>
                </c:pt>
                <c:pt idx="5">
                  <c:v>5.0334325081394541E-3</c:v>
                </c:pt>
                <c:pt idx="6">
                  <c:v>4.8834246917643512E-4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AA7-4265-91B1-32249BA456DF}"/>
            </c:ext>
          </c:extLst>
        </c:ser>
        <c:ser>
          <c:idx val="39"/>
          <c:order val="39"/>
          <c:spPr>
            <a:ln w="28575" cap="rnd">
              <a:solidFill>
                <a:schemeClr val="accent5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Bilogito'!$AO$74:$AO$80</c:f>
              <c:numCache>
                <c:formatCode>0.0000</c:formatCode>
                <c:ptCount val="7"/>
                <c:pt idx="0">
                  <c:v>5.1630182699152163E-2</c:v>
                </c:pt>
                <c:pt idx="1">
                  <c:v>0.11907046441543478</c:v>
                </c:pt>
                <c:pt idx="2">
                  <c:v>9.5917819185178763E-2</c:v>
                </c:pt>
                <c:pt idx="3">
                  <c:v>5.4428208182810231E-2</c:v>
                </c:pt>
                <c:pt idx="4">
                  <c:v>2.1771336091541502E-2</c:v>
                </c:pt>
                <c:pt idx="5">
                  <c:v>4.8300465648461535E-3</c:v>
                </c:pt>
                <c:pt idx="6">
                  <c:v>4.6030208700037896E-4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AA7-4265-91B1-32249BA456DF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Bilogito'!$AP$74:$AP$80</c:f>
              <c:numCache>
                <c:formatCode>0.0000</c:formatCode>
                <c:ptCount val="7"/>
                <c:pt idx="0">
                  <c:v>5.1102014128250675E-2</c:v>
                </c:pt>
                <c:pt idx="1">
                  <c:v>0.11857688621404409</c:v>
                </c:pt>
                <c:pt idx="2">
                  <c:v>9.5001579423685034E-2</c:v>
                </c:pt>
                <c:pt idx="3">
                  <c:v>5.3454984079864376E-2</c:v>
                </c:pt>
                <c:pt idx="4">
                  <c:v>2.1165292941277117E-2</c:v>
                </c:pt>
                <c:pt idx="5">
                  <c:v>4.6359571785056179E-3</c:v>
                </c:pt>
                <c:pt idx="6">
                  <c:v>4.3398775316707107E-4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AA7-4265-91B1-32249BA456DF}"/>
            </c:ext>
          </c:extLst>
        </c:ser>
        <c:ser>
          <c:idx val="41"/>
          <c:order val="4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Bilogito'!$AQ$74:$AQ$80</c:f>
              <c:numCache>
                <c:formatCode>0.0000</c:formatCode>
                <c:ptCount val="7"/>
                <c:pt idx="0">
                  <c:v>5.0589954996270795E-2</c:v>
                </c:pt>
                <c:pt idx="1">
                  <c:v>0.1181036042934768</c:v>
                </c:pt>
                <c:pt idx="2">
                  <c:v>9.4106605873943414E-2</c:v>
                </c:pt>
                <c:pt idx="3">
                  <c:v>5.2506186843908662E-2</c:v>
                </c:pt>
                <c:pt idx="4">
                  <c:v>2.0579266535410042E-2</c:v>
                </c:pt>
                <c:pt idx="5">
                  <c:v>4.4504521533285882E-3</c:v>
                </c:pt>
                <c:pt idx="6">
                  <c:v>4.0926381689172005E-4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AA7-4265-91B1-32249BA456DF}"/>
            </c:ext>
          </c:extLst>
        </c:ser>
        <c:ser>
          <c:idx val="42"/>
          <c:order val="42"/>
          <c:spPr>
            <a:ln w="28575" cap="rnd">
              <a:solidFill>
                <a:schemeClr val="accent5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Bilogito'!$AR$74:$AR$80</c:f>
              <c:numCache>
                <c:formatCode>0.0000</c:formatCode>
                <c:ptCount val="7"/>
                <c:pt idx="0">
                  <c:v>5.011428864116494E-2</c:v>
                </c:pt>
                <c:pt idx="1">
                  <c:v>0.11769899118549507</c:v>
                </c:pt>
                <c:pt idx="2">
                  <c:v>9.3271005019726724E-2</c:v>
                </c:pt>
                <c:pt idx="3">
                  <c:v>5.1602467758085899E-2</c:v>
                </c:pt>
                <c:pt idx="4">
                  <c:v>2.0020802530307732E-2</c:v>
                </c:pt>
                <c:pt idx="5">
                  <c:v>4.2748896663684817E-3</c:v>
                </c:pt>
                <c:pt idx="6">
                  <c:v>3.8618880844915683E-4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AA7-4265-91B1-32249BA456DF}"/>
            </c:ext>
          </c:extLst>
        </c:ser>
        <c:ser>
          <c:idx val="43"/>
          <c:order val="43"/>
          <c:spPr>
            <a:ln w="28575" cap="rnd">
              <a:solidFill>
                <a:schemeClr val="accent5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Bilogito'!$AS$74:$AS$80</c:f>
              <c:numCache>
                <c:formatCode>0.0000</c:formatCode>
                <c:ptCount val="7"/>
                <c:pt idx="0">
                  <c:v>4.9685660706281012E-2</c:v>
                </c:pt>
                <c:pt idx="1">
                  <c:v>0.11738978447821</c:v>
                </c:pt>
                <c:pt idx="2">
                  <c:v>9.2514989411615081E-2</c:v>
                </c:pt>
                <c:pt idx="3">
                  <c:v>5.0753958055051084E-2</c:v>
                </c:pt>
                <c:pt idx="4">
                  <c:v>1.9493093080028716E-2</c:v>
                </c:pt>
                <c:pt idx="5">
                  <c:v>4.1096354391935482E-3</c:v>
                </c:pt>
                <c:pt idx="6">
                  <c:v>3.6472684041056574E-4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AA7-4265-91B1-32249BA456DF}"/>
            </c:ext>
          </c:extLst>
        </c:ser>
        <c:ser>
          <c:idx val="44"/>
          <c:order val="44"/>
          <c:spPr>
            <a:ln w="28575" cap="rnd">
              <a:solidFill>
                <a:schemeClr val="accent5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Bilogito'!$AT$74:$AT$80</c:f>
              <c:numCache>
                <c:formatCode>0.0000</c:formatCode>
                <c:ptCount val="7"/>
                <c:pt idx="0">
                  <c:v>4.929709733165602E-2</c:v>
                </c:pt>
                <c:pt idx="1">
                  <c:v>0.11716143308309998</c:v>
                </c:pt>
                <c:pt idx="2">
                  <c:v>9.1825947861502194E-2</c:v>
                </c:pt>
                <c:pt idx="3">
                  <c:v>4.9952574940690657E-2</c:v>
                </c:pt>
                <c:pt idx="4">
                  <c:v>1.8992264230502095E-2</c:v>
                </c:pt>
                <c:pt idx="5">
                  <c:v>3.9535586635382324E-3</c:v>
                </c:pt>
                <c:pt idx="6">
                  <c:v>3.4471172513480462E-4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AA7-4265-91B1-32249BA456DF}"/>
            </c:ext>
          </c:extLst>
        </c:ser>
        <c:ser>
          <c:idx val="45"/>
          <c:order val="45"/>
          <c:spPr>
            <a:ln w="28575" cap="rnd">
              <a:solidFill>
                <a:schemeClr val="accent5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Bilogito'!$AU$74:$AU$80</c:f>
              <c:numCache>
                <c:formatCode>0.0000</c:formatCode>
                <c:ptCount val="7"/>
                <c:pt idx="0">
                  <c:v>4.8937427129830076E-2</c:v>
                </c:pt>
                <c:pt idx="1">
                  <c:v>0.11698895002637696</c:v>
                </c:pt>
                <c:pt idx="2">
                  <c:v>9.1183390510334222E-2</c:v>
                </c:pt>
                <c:pt idx="3">
                  <c:v>4.9186235590810298E-2</c:v>
                </c:pt>
                <c:pt idx="4">
                  <c:v>1.8513077961389422E-2</c:v>
                </c:pt>
                <c:pt idx="5">
                  <c:v>3.8052975926125754E-3</c:v>
                </c:pt>
                <c:pt idx="6">
                  <c:v>3.2596684570443364E-4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AA7-4265-91B1-32249BA456DF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Bilogito'!$AV$74:$AV$80</c:f>
              <c:numCache>
                <c:formatCode>0.0000</c:formatCode>
                <c:ptCount val="7"/>
                <c:pt idx="0">
                  <c:v>4.8602564019314218E-2</c:v>
                </c:pt>
                <c:pt idx="1">
                  <c:v>0.11686375330995653</c:v>
                </c:pt>
                <c:pt idx="2">
                  <c:v>9.0579977929023225E-2</c:v>
                </c:pt>
                <c:pt idx="3">
                  <c:v>4.8450278789351833E-2</c:v>
                </c:pt>
                <c:pt idx="4">
                  <c:v>1.8053259456453374E-2</c:v>
                </c:pt>
                <c:pt idx="5">
                  <c:v>3.6641537351186451E-3</c:v>
                </c:pt>
                <c:pt idx="6">
                  <c:v>3.083817221881644E-4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AA7-4265-91B1-32249BA456DF}"/>
            </c:ext>
          </c:extLst>
        </c:ser>
        <c:ser>
          <c:idx val="47"/>
          <c:order val="47"/>
          <c:spPr>
            <a:ln w="2857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Bilogito'!$AW$74:$AW$80</c:f>
              <c:numCache>
                <c:formatCode>0.0000</c:formatCode>
                <c:ptCount val="7"/>
                <c:pt idx="0">
                  <c:v>4.829436664173907E-2</c:v>
                </c:pt>
                <c:pt idx="1">
                  <c:v>0.11679140339032328</c:v>
                </c:pt>
                <c:pt idx="2">
                  <c:v>9.0019421031345012E-2</c:v>
                </c:pt>
                <c:pt idx="3">
                  <c:v>4.7746047517142204E-2</c:v>
                </c:pt>
                <c:pt idx="4">
                  <c:v>1.7612830145279541E-2</c:v>
                </c:pt>
                <c:pt idx="5">
                  <c:v>3.529918317518828E-3</c:v>
                </c:pt>
                <c:pt idx="6">
                  <c:v>2.9189231409006524E-4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AA7-4265-91B1-32249BA456DF}"/>
            </c:ext>
          </c:extLst>
        </c:ser>
        <c:ser>
          <c:idx val="48"/>
          <c:order val="48"/>
          <c:spPr>
            <a:ln w="28575" cap="rnd">
              <a:solidFill>
                <a:schemeClr val="accent5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Bilogito'!$AX$74:$AX$80</c:f>
              <c:numCache>
                <c:formatCode>0.0000</c:formatCode>
                <c:ptCount val="7"/>
                <c:pt idx="0">
                  <c:v>4.8014078380612481E-2</c:v>
                </c:pt>
                <c:pt idx="1">
                  <c:v>0.11677606050355407</c:v>
                </c:pt>
                <c:pt idx="2">
                  <c:v>8.9504262871150569E-2</c:v>
                </c:pt>
                <c:pt idx="3">
                  <c:v>4.7074213871969382E-2</c:v>
                </c:pt>
                <c:pt idx="4">
                  <c:v>1.7191557034770377E-2</c:v>
                </c:pt>
                <c:pt idx="5">
                  <c:v>3.4023376701127644E-3</c:v>
                </c:pt>
                <c:pt idx="6">
                  <c:v>2.7643378822638632E-4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AA7-4265-91B1-32249BA456DF}"/>
            </c:ext>
          </c:extLst>
        </c:ser>
        <c:ser>
          <c:idx val="49"/>
          <c:order val="49"/>
          <c:spPr>
            <a:ln w="28575" cap="rnd">
              <a:solidFill>
                <a:schemeClr val="accent5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Bilogito'!$AY$74:$AY$80</c:f>
              <c:numCache>
                <c:formatCode>0.0000</c:formatCode>
                <c:ptCount val="7"/>
                <c:pt idx="0">
                  <c:v>4.7759551877527409E-2</c:v>
                </c:pt>
                <c:pt idx="1">
                  <c:v>0.11681365289053466</c:v>
                </c:pt>
                <c:pt idx="2">
                  <c:v>8.9030702568928019E-2</c:v>
                </c:pt>
                <c:pt idx="3">
                  <c:v>4.6432106746731774E-2</c:v>
                </c:pt>
                <c:pt idx="4">
                  <c:v>1.6787999078187562E-2</c:v>
                </c:pt>
                <c:pt idx="5">
                  <c:v>3.2809298533142003E-3</c:v>
                </c:pt>
                <c:pt idx="6">
                  <c:v>2.6192608007634741E-4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AA7-4265-91B1-32249BA456DF}"/>
            </c:ext>
          </c:extLst>
        </c:ser>
        <c:ser>
          <c:idx val="50"/>
          <c:order val="50"/>
          <c:spPr>
            <a:ln w="28575" cap="rnd">
              <a:solidFill>
                <a:schemeClr val="accent5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Bilogito'!$AZ$74:$AZ$80</c:f>
              <c:numCache>
                <c:formatCode>0.0000</c:formatCode>
                <c:ptCount val="7"/>
                <c:pt idx="0">
                  <c:v>4.7527261921979376E-2</c:v>
                </c:pt>
                <c:pt idx="1">
                  <c:v>0.11689659467089004</c:v>
                </c:pt>
                <c:pt idx="2">
                  <c:v>8.8592348063703169E-2</c:v>
                </c:pt>
                <c:pt idx="3">
                  <c:v>4.5815792289851054E-2</c:v>
                </c:pt>
                <c:pt idx="4">
                  <c:v>1.6400312108849929E-2</c:v>
                </c:pt>
                <c:pt idx="5">
                  <c:v>3.1651545051741455E-3</c:v>
                </c:pt>
                <c:pt idx="6">
                  <c:v>2.482886779183001E-4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AA7-4265-91B1-32249BA456DF}"/>
            </c:ext>
          </c:extLst>
        </c:ser>
        <c:ser>
          <c:idx val="51"/>
          <c:order val="51"/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Bilogito'!$BA$74:$BA$80</c:f>
              <c:numCache>
                <c:formatCode>0.0000</c:formatCode>
                <c:ptCount val="7"/>
                <c:pt idx="0">
                  <c:v>4.7314816806288844E-2</c:v>
                </c:pt>
                <c:pt idx="1">
                  <c:v>0.11701990390297146</c:v>
                </c:pt>
                <c:pt idx="2">
                  <c:v>8.8184901614870387E-2</c:v>
                </c:pt>
                <c:pt idx="3">
                  <c:v>4.5222531365687345E-2</c:v>
                </c:pt>
                <c:pt idx="4">
                  <c:v>1.6027140874566158E-2</c:v>
                </c:pt>
                <c:pt idx="5">
                  <c:v>3.0545870585938096E-3</c:v>
                </c:pt>
                <c:pt idx="6">
                  <c:v>2.3545427095198731E-4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AA7-4265-91B1-32249BA456DF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Bilogito'!$BB$74:$BB$80</c:f>
              <c:numCache>
                <c:formatCode>0.0000</c:formatCode>
                <c:ptCount val="7"/>
                <c:pt idx="0">
                  <c:v>4.7121221921169819E-2</c:v>
                </c:pt>
                <c:pt idx="1">
                  <c:v>0.11718193684519343</c:v>
                </c:pt>
                <c:pt idx="2">
                  <c:v>8.7806653789898131E-2</c:v>
                </c:pt>
                <c:pt idx="3">
                  <c:v>4.4650983221058371E-2</c:v>
                </c:pt>
                <c:pt idx="4">
                  <c:v>1.5667667664035736E-2</c:v>
                </c:pt>
                <c:pt idx="5">
                  <c:v>2.9489213397096816E-3</c:v>
                </c:pt>
                <c:pt idx="6">
                  <c:v>2.2336798608684505E-4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AA7-4265-91B1-32249BA456DF}"/>
            </c:ext>
          </c:extLst>
        </c:ser>
        <c:ser>
          <c:idx val="53"/>
          <c:order val="53"/>
          <c:spPr>
            <a:ln w="28575" cap="rnd">
              <a:solidFill>
                <a:schemeClr val="accent5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Bilogito'!$BC$74:$BC$80</c:f>
              <c:numCache>
                <c:formatCode>0.0000</c:formatCode>
                <c:ptCount val="7"/>
                <c:pt idx="0">
                  <c:v>4.6945704012776722E-2</c:v>
                </c:pt>
                <c:pt idx="1">
                  <c:v>0.11738154393981874</c:v>
                </c:pt>
                <c:pt idx="2">
                  <c:v>8.7456293028131821E-2</c:v>
                </c:pt>
                <c:pt idx="3">
                  <c:v>4.4100044104866939E-2</c:v>
                </c:pt>
                <c:pt idx="4">
                  <c:v>1.5321183232104397E-2</c:v>
                </c:pt>
                <c:pt idx="5">
                  <c:v>2.8478829580547609E-3</c:v>
                </c:pt>
                <c:pt idx="6">
                  <c:v>2.1198001570662915E-4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AA7-4265-91B1-32249BA456DF}"/>
            </c:ext>
          </c:extLst>
        </c:ser>
        <c:ser>
          <c:idx val="54"/>
          <c:order val="54"/>
          <c:spPr>
            <a:ln w="28575" cap="rnd">
              <a:solidFill>
                <a:schemeClr val="accent5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Bilogito'!$BD$74:$BD$80</c:f>
              <c:numCache>
                <c:formatCode>0.0000</c:formatCode>
                <c:ptCount val="7"/>
                <c:pt idx="0">
                  <c:v>4.6786963452931582E-2</c:v>
                </c:pt>
                <c:pt idx="1">
                  <c:v>0.11761620549437042</c:v>
                </c:pt>
                <c:pt idx="2">
                  <c:v>8.7131513985750322E-2</c:v>
                </c:pt>
                <c:pt idx="3">
                  <c:v>4.3568142300363918E-2</c:v>
                </c:pt>
                <c:pt idx="4">
                  <c:v>1.4986839528648047E-2</c:v>
                </c:pt>
                <c:pt idx="5">
                  <c:v>2.7511822884464807E-3</c:v>
                </c:pt>
                <c:pt idx="6">
                  <c:v>2.0124186013722737E-4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AA7-4265-91B1-32249BA456DF}"/>
            </c:ext>
          </c:extLst>
        </c:ser>
        <c:ser>
          <c:idx val="55"/>
          <c:order val="55"/>
          <c:spPr>
            <a:ln w="28575" cap="rnd">
              <a:solidFill>
                <a:schemeClr val="accent5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Bilogito'!$BE$74:$BE$80</c:f>
              <c:numCache>
                <c:formatCode>0.0000</c:formatCode>
                <c:ptCount val="7"/>
                <c:pt idx="0">
                  <c:v>4.6643398822657736E-2</c:v>
                </c:pt>
                <c:pt idx="1">
                  <c:v>0.11788256421115106</c:v>
                </c:pt>
                <c:pt idx="2">
                  <c:v>8.6829438798925504E-2</c:v>
                </c:pt>
                <c:pt idx="3">
                  <c:v>4.3053467270745119E-2</c:v>
                </c:pt>
                <c:pt idx="4">
                  <c:v>1.4663735090749714E-2</c:v>
                </c:pt>
                <c:pt idx="5">
                  <c:v>2.6585312020612631E-3</c:v>
                </c:pt>
                <c:pt idx="6">
                  <c:v>1.9110752517160196E-4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CAA7-4265-91B1-32249BA456DF}"/>
            </c:ext>
          </c:extLst>
        </c:ser>
        <c:ser>
          <c:idx val="56"/>
          <c:order val="56"/>
          <c:spPr>
            <a:ln w="28575" cap="rnd">
              <a:solidFill>
                <a:schemeClr val="accent5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Bilogito'!$BF$74:$BF$80</c:f>
              <c:numCache>
                <c:formatCode>0.0000</c:formatCode>
                <c:ptCount val="7"/>
                <c:pt idx="0">
                  <c:v>4.6513611925029827E-2</c:v>
                </c:pt>
                <c:pt idx="1">
                  <c:v>0.11817768866925218</c:v>
                </c:pt>
                <c:pt idx="2">
                  <c:v>8.6547559909661481E-2</c:v>
                </c:pt>
                <c:pt idx="3">
                  <c:v>4.2554444214393798E-2</c:v>
                </c:pt>
                <c:pt idx="4">
                  <c:v>1.4351078325088747E-2</c:v>
                </c:pt>
                <c:pt idx="5">
                  <c:v>2.5696725406206054E-3</c:v>
                </c:pt>
                <c:pt idx="6">
                  <c:v>1.8153549427134906E-4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AA7-4265-91B1-32249BA456DF}"/>
            </c:ext>
          </c:extLst>
        </c:ser>
        <c:ser>
          <c:idx val="57"/>
          <c:order val="57"/>
          <c:spPr>
            <a:ln w="28575" cap="rnd">
              <a:solidFill>
                <a:schemeClr val="accent5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Bilogito'!$BG$74:$BG$80</c:f>
              <c:numCache>
                <c:formatCode>0.0000</c:formatCode>
                <c:ptCount val="7"/>
                <c:pt idx="0">
                  <c:v>4.6396551490891856E-2</c:v>
                </c:pt>
                <c:pt idx="1">
                  <c:v>0.11849945468694648</c:v>
                </c:pt>
                <c:pt idx="2">
                  <c:v>8.6284008481502125E-2</c:v>
                </c:pt>
                <c:pt idx="3">
                  <c:v>4.2069856216496178E-2</c:v>
                </c:pt>
                <c:pt idx="4">
                  <c:v>1.404822355719516E-2</c:v>
                </c:pt>
                <c:pt idx="5">
                  <c:v>2.4843849106274954E-3</c:v>
                </c:pt>
                <c:pt idx="6">
                  <c:v>1.7248877687270396E-4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CAA7-4265-91B1-32249BA456DF}"/>
            </c:ext>
          </c:extLst>
        </c:ser>
        <c:ser>
          <c:idx val="58"/>
          <c:order val="58"/>
          <c:spPr>
            <a:ln w="28575" cap="rnd">
              <a:solidFill>
                <a:schemeClr val="accent5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Bilogito'!$BH$74:$BH$80</c:f>
              <c:numCache>
                <c:formatCode>0.0000</c:formatCode>
                <c:ptCount val="7"/>
                <c:pt idx="0">
                  <c:v>4.6291321850473147E-2</c:v>
                </c:pt>
                <c:pt idx="1">
                  <c:v>0.11884607784895587</c:v>
                </c:pt>
                <c:pt idx="2">
                  <c:v>8.603719875637976E-2</c:v>
                </c:pt>
                <c:pt idx="3">
                  <c:v>4.1598658318749648E-2</c:v>
                </c:pt>
                <c:pt idx="4">
                  <c:v>1.3754602969903764E-2</c:v>
                </c:pt>
                <c:pt idx="5">
                  <c:v>2.4024688834648139E-3</c:v>
                </c:pt>
                <c:pt idx="6">
                  <c:v>1.6393366802301712E-4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AA7-4265-91B1-32249BA456DF}"/>
            </c:ext>
          </c:extLst>
        </c:ser>
        <c:ser>
          <c:idx val="59"/>
          <c:order val="59"/>
          <c:spPr>
            <a:ln w="28575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Bilogito'!$BI$74:$BI$80</c:f>
              <c:numCache>
                <c:formatCode>0.0000</c:formatCode>
                <c:ptCount val="7"/>
                <c:pt idx="0">
                  <c:v>4.6197005028437398E-2</c:v>
                </c:pt>
                <c:pt idx="1">
                  <c:v>0.11921566521146069</c:v>
                </c:pt>
                <c:pt idx="2">
                  <c:v>8.5805498093805194E-2</c:v>
                </c:pt>
                <c:pt idx="3">
                  <c:v>4.1139812885271743E-2</c:v>
                </c:pt>
                <c:pt idx="4">
                  <c:v>1.3469669348768356E-2</c:v>
                </c:pt>
                <c:pt idx="5">
                  <c:v>2.3237360140355295E-3</c:v>
                </c:pt>
                <c:pt idx="6">
                  <c:v>1.5583880938711402E-4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CAA7-4265-91B1-32249BA456DF}"/>
            </c:ext>
          </c:extLst>
        </c:ser>
        <c:ser>
          <c:idx val="60"/>
          <c:order val="60"/>
          <c:spPr>
            <a:ln w="28575" cap="rnd">
              <a:solidFill>
                <a:schemeClr val="accent5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Bilogito'!$BJ$74:$BJ$80</c:f>
              <c:numCache>
                <c:formatCode>0.0000</c:formatCode>
                <c:ptCount val="7"/>
                <c:pt idx="0">
                  <c:v>4.6112663818988972E-2</c:v>
                </c:pt>
                <c:pt idx="1">
                  <c:v>0.11960622223594919</c:v>
                </c:pt>
                <c:pt idx="2">
                  <c:v>8.5587234041750532E-2</c:v>
                </c:pt>
                <c:pt idx="3">
                  <c:v>4.0692293301699947E-2</c:v>
                </c:pt>
                <c:pt idx="4">
                  <c:v>1.3192896675719009E-2</c:v>
                </c:pt>
                <c:pt idx="5">
                  <c:v>2.2480084880501746E-3</c:v>
                </c:pt>
                <c:pt idx="6">
                  <c:v>1.4817503673018133E-4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AA7-4265-91B1-32249BA456DF}"/>
            </c:ext>
          </c:extLst>
        </c:ser>
        <c:ser>
          <c:idx val="61"/>
          <c:order val="61"/>
          <c:spPr>
            <a:ln w="28575" cap="rnd">
              <a:solidFill>
                <a:schemeClr val="accent5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Bilogito'!$BK$74:$BK$80</c:f>
              <c:numCache>
                <c:formatCode>0.0000</c:formatCode>
                <c:ptCount val="7"/>
                <c:pt idx="0">
                  <c:v>4.6037431787809772E-2</c:v>
                </c:pt>
                <c:pt idx="1">
                  <c:v>0.12001588659997568</c:v>
                </c:pt>
                <c:pt idx="2">
                  <c:v>8.5380862604829466E-2</c:v>
                </c:pt>
                <c:pt idx="3">
                  <c:v>4.0255163489264785E-2</c:v>
                </c:pt>
                <c:pt idx="4">
                  <c:v>1.2923805009338252E-2</c:v>
                </c:pt>
                <c:pt idx="5">
                  <c:v>2.1751228658476785E-3</c:v>
                </c:pt>
                <c:pt idx="6">
                  <c:v>1.4091550134836525E-4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AA7-4265-91B1-32249BA456DF}"/>
            </c:ext>
          </c:extLst>
        </c:ser>
        <c:ser>
          <c:idx val="62"/>
          <c:order val="62"/>
          <c:spPr>
            <a:ln w="28575" cap="rnd">
              <a:solidFill>
                <a:schemeClr val="accent5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Bilogito'!$BL$74:$BL$80</c:f>
              <c:numCache>
                <c:formatCode>0.0000</c:formatCode>
                <c:ptCount val="7"/>
                <c:pt idx="0">
                  <c:v>4.5970554459651404E-2</c:v>
                </c:pt>
                <c:pt idx="1">
                  <c:v>0.12044304120073368</c:v>
                </c:pt>
                <c:pt idx="2">
                  <c:v>8.5185045217930161E-2</c:v>
                </c:pt>
                <c:pt idx="3">
                  <c:v>3.9827610748509559E-2</c:v>
                </c:pt>
                <c:pt idx="4">
                  <c:v>1.2661969053762243E-2</c:v>
                </c:pt>
                <c:pt idx="5">
                  <c:v>2.1049308227253198E-3</c:v>
                </c:pt>
                <c:pt idx="6">
                  <c:v>1.3403558112162989E-4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AA7-4265-91B1-32249BA456DF}"/>
            </c:ext>
          </c:extLst>
        </c:ser>
        <c:ser>
          <c:idx val="63"/>
          <c:order val="63"/>
          <c:spPr>
            <a:ln w="28575" cap="rnd">
              <a:solidFill>
                <a:schemeClr val="accent5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Bilogito'!$BM$74:$BM$80</c:f>
              <c:numCache>
                <c:formatCode>0.0000</c:formatCode>
                <c:ptCount val="7"/>
                <c:pt idx="0">
                  <c:v>4.5911359986930675E-2</c:v>
                </c:pt>
                <c:pt idx="1">
                  <c:v>0.12088624464929318</c:v>
                </c:pt>
                <c:pt idx="2">
                  <c:v>8.4998594603706332E-2</c:v>
                </c:pt>
                <c:pt idx="3">
                  <c:v>3.9408916086391847E-2</c:v>
                </c:pt>
                <c:pt idx="4">
                  <c:v>1.240700649677039E-2</c:v>
                </c:pt>
                <c:pt idx="5">
                  <c:v>2.0372964886541918E-3</c:v>
                </c:pt>
                <c:pt idx="6">
                  <c:v>1.2751258053138209E-4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CAA7-4265-91B1-32249BA456DF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Bilogito'!$BN$74:$BN$80</c:f>
              <c:numCache>
                <c:formatCode>0.0000</c:formatCode>
                <c:ptCount val="7"/>
                <c:pt idx="0">
                  <c:v>4.5859218536536614E-2</c:v>
                </c:pt>
                <c:pt idx="1">
                  <c:v>0.12134412954471116</c:v>
                </c:pt>
                <c:pt idx="2">
                  <c:v>8.4820399866939206E-2</c:v>
                </c:pt>
                <c:pt idx="3">
                  <c:v>3.8998416367357507E-2</c:v>
                </c:pt>
                <c:pt idx="4">
                  <c:v>1.2158564419030153E-2</c:v>
                </c:pt>
                <c:pt idx="5">
                  <c:v>1.9720936442239891E-3</c:v>
                </c:pt>
                <c:pt idx="6">
                  <c:v>1.2132544542939302E-4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AA7-4265-91B1-32249BA456DF}"/>
            </c:ext>
          </c:extLst>
        </c:ser>
        <c:ser>
          <c:idx val="65"/>
          <c:order val="65"/>
          <c:spPr>
            <a:ln w="28575" cap="rnd">
              <a:solidFill>
                <a:schemeClr val="accent5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Bilogito'!$BO$74:$BO$80</c:f>
              <c:numCache>
                <c:formatCode>0.0000</c:formatCode>
                <c:ptCount val="7"/>
                <c:pt idx="0">
                  <c:v>4.581353250445603E-2</c:v>
                </c:pt>
                <c:pt idx="1">
                  <c:v>0.12181537950593797</c:v>
                </c:pt>
                <c:pt idx="2">
                  <c:v>8.4649408852777219E-2</c:v>
                </c:pt>
                <c:pt idx="3">
                  <c:v>3.859549438021375E-2</c:v>
                </c:pt>
                <c:pt idx="4">
                  <c:v>1.1916315066722786E-2</c:v>
                </c:pt>
                <c:pt idx="5">
                  <c:v>1.9092046010506666E-3</c:v>
                </c:pt>
                <c:pt idx="6">
                  <c:v>1.1545460277957511E-4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CAA7-4265-91B1-32249BA456DF}"/>
            </c:ext>
          </c:extLst>
        </c:ser>
        <c:ser>
          <c:idx val="66"/>
          <c:order val="66"/>
          <c:spPr>
            <a:ln w="28575" cap="rnd">
              <a:solidFill>
                <a:schemeClr val="accent5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Bilogito'!$BP$74:$BP$80</c:f>
              <c:numCache>
                <c:formatCode>0.0000</c:formatCode>
                <c:ptCount val="7"/>
                <c:pt idx="0">
                  <c:v>4.5773748755474256E-2</c:v>
                </c:pt>
                <c:pt idx="1">
                  <c:v>0.12229876426479494</c:v>
                </c:pt>
                <c:pt idx="2">
                  <c:v>8.4484651186143719E-2</c:v>
                </c:pt>
                <c:pt idx="3">
                  <c:v>3.8199587745807589E-2</c:v>
                </c:pt>
                <c:pt idx="4">
                  <c:v>1.1679957599898694E-2</c:v>
                </c:pt>
                <c:pt idx="5">
                  <c:v>1.8485200939906883E-3</c:v>
                </c:pt>
                <c:pt idx="6">
                  <c:v>1.098818718741132E-4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AA7-4265-91B1-32249BA456DF}"/>
            </c:ext>
          </c:extLst>
        </c:ser>
        <c:ser>
          <c:idx val="67"/>
          <c:order val="67"/>
          <c:spPr>
            <a:ln w="28575" cap="rnd">
              <a:solidFill>
                <a:schemeClr val="accent5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Bilogito'!$BQ$74:$BQ$80</c:f>
              <c:numCache>
                <c:formatCode>0.0000</c:formatCode>
                <c:ptCount val="7"/>
                <c:pt idx="0">
                  <c:v>4.5739366510494428E-2</c:v>
                </c:pt>
                <c:pt idx="1">
                  <c:v>0.12279316399308091</c:v>
                </c:pt>
                <c:pt idx="2">
                  <c:v>8.4325253063062072E-2</c:v>
                </c:pt>
                <c:pt idx="3">
                  <c:v>3.7810193641524388E-2</c:v>
                </c:pt>
                <c:pt idx="4">
                  <c:v>1.1449218447005699E-2</c:v>
                </c:pt>
                <c:pt idx="5">
                  <c:v>1.7899389494779924E-3</c:v>
                </c:pt>
                <c:pt idx="6">
                  <c:v>1.0459036702050368E-4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CAA7-4265-91B1-32249BA456DF}"/>
            </c:ext>
          </c:extLst>
        </c:ser>
        <c:ser>
          <c:idx val="68"/>
          <c:order val="68"/>
          <c:spPr>
            <a:ln w="2857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Bilogito'!$BR$74:$BR$80</c:f>
              <c:numCache>
                <c:formatCode>0.0000</c:formatCode>
                <c:ptCount val="7"/>
                <c:pt idx="0">
                  <c:v>4.5709931737677657E-2</c:v>
                </c:pt>
                <c:pt idx="1">
                  <c:v>0.12329755779627571</c:v>
                </c:pt>
                <c:pt idx="2">
                  <c:v>8.4170426998984568E-2</c:v>
                </c:pt>
                <c:pt idx="3">
                  <c:v>3.7426862105730832E-2</c:v>
                </c:pt>
                <c:pt idx="4">
                  <c:v>1.1223848186186765E-2</c:v>
                </c:pt>
                <c:pt idx="5">
                  <c:v>1.7333672278384538E-3</c:v>
                </c:pt>
                <c:pt idx="6">
                  <c:v>9.9564375679989624E-5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AA7-4265-91B1-32249BA456DF}"/>
            </c:ext>
          </c:extLst>
        </c:ser>
        <c:ser>
          <c:idx val="69"/>
          <c:order val="69"/>
          <c:spPr>
            <a:ln w="28575" cap="rnd">
              <a:solidFill>
                <a:schemeClr val="accent5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Bilogito'!$BS$74:$BS$80</c:f>
              <c:numCache>
                <c:formatCode>0.0000</c:formatCode>
                <c:ptCount val="7"/>
                <c:pt idx="0">
                  <c:v>4.5685026962305988E-2</c:v>
                </c:pt>
                <c:pt idx="1">
                  <c:v>0.12381099932405112</c:v>
                </c:pt>
                <c:pt idx="2">
                  <c:v>8.4019453132716374E-2</c:v>
                </c:pt>
                <c:pt idx="3">
                  <c:v>3.7049185899007846E-2</c:v>
                </c:pt>
                <c:pt idx="4">
                  <c:v>1.1003617555516133E-2</c:v>
                </c:pt>
                <c:pt idx="5">
                  <c:v>1.678717281839762E-3</c:v>
                </c:pt>
                <c:pt idx="6">
                  <c:v>9.4789240326756397E-5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CAA7-4265-91B1-32249BA456DF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Bilogito'!$BT$74:$BT$80</c:f>
              <c:numCache>
                <c:formatCode>0.0000</c:formatCode>
                <c:ptCount val="7"/>
                <c:pt idx="0">
                  <c:v>4.5664265870004515E-2</c:v>
                </c:pt>
                <c:pt idx="1">
                  <c:v>0.12433260462249551</c:v>
                </c:pt>
                <c:pt idx="2">
                  <c:v>8.3871669395911702E-2</c:v>
                </c:pt>
                <c:pt idx="3">
                  <c:v>3.6676794700281769E-2</c:v>
                </c:pt>
                <c:pt idx="4">
                  <c:v>1.0788314943226619E-2</c:v>
                </c:pt>
                <c:pt idx="5">
                  <c:v>1.6259070949398049E-3</c:v>
                </c:pt>
                <c:pt idx="6">
                  <c:v>9.0251264292092701E-5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AA7-4265-91B1-32249BA456DF}"/>
            </c:ext>
          </c:extLst>
        </c:ser>
        <c:ser>
          <c:idx val="71"/>
          <c:order val="71"/>
          <c:spPr>
            <a:ln w="28575" cap="rnd">
              <a:solidFill>
                <a:schemeClr val="accent5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Bilogito'!$BU$74:$BU$80</c:f>
              <c:numCache>
                <c:formatCode>0.0000</c:formatCode>
                <c:ptCount val="7"/>
                <c:pt idx="0">
                  <c:v>4.5647292961810415E-2</c:v>
                </c:pt>
                <c:pt idx="1">
                  <c:v>0.12486155336918628</c:v>
                </c:pt>
                <c:pt idx="2">
                  <c:v>8.3726470961988181E-2</c:v>
                </c:pt>
                <c:pt idx="3">
                  <c:v>3.6309353578351286E-2</c:v>
                </c:pt>
                <c:pt idx="4">
                  <c:v>1.0577745247167234E-2</c:v>
                </c:pt>
                <c:pt idx="5">
                  <c:v>1.5748598613133998E-3</c:v>
                </c:pt>
                <c:pt idx="6">
                  <c:v>8.5937637207227454E-5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CAA7-4265-91B1-32249BA456DF}"/>
            </c:ext>
          </c:extLst>
        </c:ser>
        <c:ser>
          <c:idx val="72"/>
          <c:order val="72"/>
          <c:spPr>
            <a:ln w="28575" cap="rnd">
              <a:solidFill>
                <a:schemeClr val="accent5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Bilogito'!$BV$74:$BV$80</c:f>
              <c:numCache>
                <c:formatCode>0.0000</c:formatCode>
                <c:ptCount val="7"/>
                <c:pt idx="0">
                  <c:v>4.5633783540289984E-2</c:v>
                </c:pt>
                <c:pt idx="1">
                  <c:v>0.12539709096830803</c:v>
                </c:pt>
                <c:pt idx="2">
                  <c:v>8.3583310248979303E-2</c:v>
                </c:pt>
                <c:pt idx="3">
                  <c:v>3.5946561745226334E-2</c:v>
                </c:pt>
                <c:pt idx="4">
                  <c:v>1.0371728863067949E-2</c:v>
                </c:pt>
                <c:pt idx="5">
                  <c:v>1.5255036062938084E-3</c:v>
                </c:pt>
                <c:pt idx="6">
                  <c:v>8.1836367326565114E-5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AA7-4265-91B1-32249BA456DF}"/>
            </c:ext>
          </c:extLst>
        </c:ser>
        <c:ser>
          <c:idx val="73"/>
          <c:order val="73"/>
          <c:spPr>
            <a:ln w="28575" cap="rnd">
              <a:solidFill>
                <a:schemeClr val="accent5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Bilogito'!$BW$74:$BW$80</c:f>
              <c:numCache>
                <c:formatCode>0.0000</c:formatCode>
                <c:ptCount val="7"/>
                <c:pt idx="0">
                  <c:v>4.5623441432298344E-2</c:v>
                </c:pt>
                <c:pt idx="1">
                  <c:v>0.12593852437335701</c:v>
                </c:pt>
                <c:pt idx="2">
                  <c:v>8.3441692727583353E-2</c:v>
                </c:pt>
                <c:pt idx="3">
                  <c:v>3.5588149551181648E-2</c:v>
                </c:pt>
                <c:pt idx="4">
                  <c:v>1.0170100211503892E-2</c:v>
                </c:pt>
                <c:pt idx="5">
                  <c:v>1.477770758982218E-3</c:v>
                </c:pt>
                <c:pt idx="6">
                  <c:v>7.7936215569518488E-5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CAA7-4265-91B1-32249BA456DF}"/>
            </c:ext>
          </c:extLst>
        </c:ser>
        <c:ser>
          <c:idx val="74"/>
          <c:order val="74"/>
          <c:spPr>
            <a:ln w="28575" cap="rnd">
              <a:solidFill>
                <a:schemeClr val="accent5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Bilogito'!$BX$74:$BX$80</c:f>
              <c:numCache>
                <c:formatCode>0.0000</c:formatCode>
                <c:ptCount val="7"/>
                <c:pt idx="0">
                  <c:v>4.5615995534479967E-2</c:v>
                </c:pt>
                <c:pt idx="1">
                  <c:v>0.12648521445165994</c:v>
                </c:pt>
                <c:pt idx="2">
                  <c:v>8.330117056355367E-2</c:v>
                </c:pt>
                <c:pt idx="3">
                  <c:v>3.523387468302544E-2</c:v>
                </c:pt>
                <c:pt idx="4">
                  <c:v>9.972706107877127E-3</c:v>
                </c:pt>
                <c:pt idx="5">
                  <c:v>1.4315977255773655E-3</c:v>
                </c:pt>
                <c:pt idx="6">
                  <c:v>7.4226633870492164E-5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AA7-4265-91B1-32249BA456DF}"/>
            </c:ext>
          </c:extLst>
        </c:ser>
        <c:ser>
          <c:idx val="75"/>
          <c:order val="75"/>
          <c:spPr>
            <a:ln w="28575" cap="rnd">
              <a:solidFill>
                <a:schemeClr val="accent5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Bilogito'!$BY$74:$BY$80</c:f>
              <c:numCache>
                <c:formatCode>0.0000</c:formatCode>
                <c:ptCount val="7"/>
                <c:pt idx="0">
                  <c:v>4.5611197080655523E-2</c:v>
                </c:pt>
                <c:pt idx="1">
                  <c:v>0.12703657008064689</c:v>
                </c:pt>
                <c:pt idx="2">
                  <c:v>8.3161337586874579E-2</c:v>
                </c:pt>
                <c:pt idx="3">
                  <c:v>3.4883519080301378E-2</c:v>
                </c:pt>
                <c:pt idx="4">
                  <c:v>9.7794044126104825E-3</c:v>
                </c:pt>
                <c:pt idx="5">
                  <c:v>1.3869245263388322E-3</c:v>
                </c:pt>
                <c:pt idx="6">
                  <c:v>7.0697710810330034E-5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CAA7-4265-91B1-32249BA456DF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Bilogito'!$BZ$74:$BZ$80</c:f>
              <c:numCache>
                <c:formatCode>0.0000</c:formatCode>
                <c:ptCount val="7"/>
                <c:pt idx="0">
                  <c:v>4.5608818048902308E-2</c:v>
                </c:pt>
                <c:pt idx="1">
                  <c:v>0.12759204521074735</c:v>
                </c:pt>
                <c:pt idx="2">
                  <c:v>8.3021826341371133E-2</c:v>
                </c:pt>
                <c:pt idx="3">
                  <c:v>3.4536886846022484E-2</c:v>
                </c:pt>
                <c:pt idx="4">
                  <c:v>9.5900630220368994E-3</c:v>
                </c:pt>
                <c:pt idx="5">
                  <c:v>1.34369450028224E-3</c:v>
                </c:pt>
                <c:pt idx="6">
                  <c:v>6.7340124133559527E-5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AA7-4265-91B1-32249BA456DF}"/>
            </c:ext>
          </c:extLst>
        </c:ser>
        <c:ser>
          <c:idx val="77"/>
          <c:order val="77"/>
          <c:spPr>
            <a:ln w="28575" cap="rnd">
              <a:solidFill>
                <a:schemeClr val="accent5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Bilogito'!$CA$74:$CA$80</c:f>
              <c:numCache>
                <c:formatCode>0.0000</c:formatCode>
                <c:ptCount val="7"/>
                <c:pt idx="0">
                  <c:v>4.560864993502068E-2</c:v>
                </c:pt>
                <c:pt idx="1">
                  <c:v>0.12815113682296797</c:v>
                </c:pt>
                <c:pt idx="2">
                  <c:v>8.2882305791582775E-2</c:v>
                </c:pt>
                <c:pt idx="3">
                  <c:v>3.4193802510976597E-2</c:v>
                </c:pt>
                <c:pt idx="4">
                  <c:v>9.4045590029564318E-3</c:v>
                </c:pt>
                <c:pt idx="5">
                  <c:v>1.3018540454607928E-3</c:v>
                </c:pt>
                <c:pt idx="6">
                  <c:v>6.4145097980767559E-5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CAA7-4265-91B1-32249BA456DF}"/>
            </c:ext>
          </c:extLst>
        </c:ser>
        <c:ser>
          <c:idx val="78"/>
          <c:order val="78"/>
          <c:spPr>
            <a:ln w="28575" cap="rnd">
              <a:solidFill>
                <a:schemeClr val="accent5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Bilogito'!$CB$74:$CB$80</c:f>
              <c:numCache>
                <c:formatCode>0.0000</c:formatCode>
                <c:ptCount val="7"/>
                <c:pt idx="0">
                  <c:v>4.5610502265493999E-2</c:v>
                </c:pt>
                <c:pt idx="1">
                  <c:v>0.12871338204503194</c:v>
                </c:pt>
                <c:pt idx="2">
                  <c:v>8.2742478545713136E-2</c:v>
                </c:pt>
                <c:pt idx="3">
                  <c:v>3.3854109166709591E-2</c:v>
                </c:pt>
                <c:pt idx="4">
                  <c:v>9.2227777306283891E-3</c:v>
                </c:pt>
                <c:pt idx="5">
                  <c:v>1.2613523733213201E-3</c:v>
                </c:pt>
                <c:pt idx="6">
                  <c:v>6.1104363431655582E-5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AA7-4265-91B1-32249BA456DF}"/>
            </c:ext>
          </c:extLst>
        </c:ser>
        <c:ser>
          <c:idx val="79"/>
          <c:order val="79"/>
          <c:spPr>
            <a:ln w="28575" cap="rnd">
              <a:solidFill>
                <a:schemeClr val="accent5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Bilogito'!$CC$74:$CC$80</c:f>
              <c:numCache>
                <c:formatCode>0.0000</c:formatCode>
                <c:ptCount val="7"/>
                <c:pt idx="0">
                  <c:v>4.5614200914942088E-2</c:v>
                </c:pt>
                <c:pt idx="1">
                  <c:v>0.1292783545894711</c:v>
                </c:pt>
                <c:pt idx="2">
                  <c:v>8.2602077721615375E-2</c:v>
                </c:pt>
                <c:pt idx="3">
                  <c:v>3.351766652830071E-2</c:v>
                </c:pt>
                <c:pt idx="4">
                  <c:v>9.0446120476567419E-3</c:v>
                </c:pt>
                <c:pt idx="5">
                  <c:v>1.2221412788856944E-3</c:v>
                </c:pt>
                <c:pt idx="6">
                  <c:v>5.8210122224304449E-5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CAA7-4265-91B1-32249BA456DF}"/>
            </c:ext>
          </c:extLst>
        </c:ser>
        <c:ser>
          <c:idx val="80"/>
          <c:order val="80"/>
          <c:spPr>
            <a:ln w="28575" cap="rnd">
              <a:solidFill>
                <a:schemeClr val="accent5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'Proyección Bilogito'!$A$74:$A$80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'Proyección Bilogito'!$CD$74:$CD$80</c:f>
              <c:numCache>
                <c:formatCode>0.0000</c:formatCode>
                <c:ptCount val="7"/>
                <c:pt idx="0">
                  <c:v>4.561958657746177E-2</c:v>
                </c:pt>
                <c:pt idx="1">
                  <c:v>0.12984566149315596</c:v>
                </c:pt>
                <c:pt idx="2">
                  <c:v>8.2460864095561678E-2</c:v>
                </c:pt>
                <c:pt idx="3">
                  <c:v>3.318434919064063E-2</c:v>
                </c:pt>
                <c:pt idx="4">
                  <c:v>8.8699615140742406E-3</c:v>
                </c:pt>
                <c:pt idx="5">
                  <c:v>1.1841749353634127E-3</c:v>
                </c:pt>
                <c:pt idx="6">
                  <c:v>5.5455013838308487E-5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AA7-4265-91B1-32249BA456DF}"/>
            </c:ext>
          </c:extLst>
        </c:ser>
        <c:ser>
          <c:idx val="81"/>
          <c:order val="81"/>
          <c:tx>
            <c:strRef>
              <c:f>'Proyección Bilogito'!$AF$73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5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'Proyección Bilogito'!$AF$74:$AF$80</c:f>
              <c:numCache>
                <c:formatCode>0.0000</c:formatCode>
                <c:ptCount val="7"/>
                <c:pt idx="0">
                  <c:v>5.8624066578103262E-2</c:v>
                </c:pt>
                <c:pt idx="1">
                  <c:v>0.12760170998800766</c:v>
                </c:pt>
                <c:pt idx="2">
                  <c:v>0.10784149787275861</c:v>
                </c:pt>
                <c:pt idx="3">
                  <c:v>6.6025928367103803E-2</c:v>
                </c:pt>
                <c:pt idx="4">
                  <c:v>2.8971995521692356E-2</c:v>
                </c:pt>
                <c:pt idx="5">
                  <c:v>7.2191982959961985E-3</c:v>
                </c:pt>
                <c:pt idx="6">
                  <c:v>8.0924895904412758E-4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CAA7-4265-91B1-32249BA45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264703"/>
        <c:axId val="1684265119"/>
      </c:lineChart>
      <c:catAx>
        <c:axId val="168426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265119"/>
        <c:crosses val="autoZero"/>
        <c:auto val="1"/>
        <c:lblAlgn val="ctr"/>
        <c:lblOffset val="100"/>
        <c:noMultiLvlLbl val="0"/>
      </c:catAx>
      <c:valAx>
        <c:axId val="16842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264703"/>
        <c:crosses val="autoZero"/>
        <c:crossBetween val="between"/>
        <c:majorUnit val="2.0000000000000004E-2"/>
        <c:minorUnit val="4.000000000000001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375985</xdr:colOff>
      <xdr:row>125</xdr:row>
      <xdr:rowOff>35092</xdr:rowOff>
    </xdr:from>
    <xdr:to>
      <xdr:col>12</xdr:col>
      <xdr:colOff>586539</xdr:colOff>
      <xdr:row>136</xdr:row>
      <xdr:rowOff>55145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C9A6CCF-1D4B-8A06-8F68-E47611D0D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35092</xdr:colOff>
      <xdr:row>125</xdr:row>
      <xdr:rowOff>95250</xdr:rowOff>
    </xdr:from>
    <xdr:to>
      <xdr:col>5</xdr:col>
      <xdr:colOff>777040</xdr:colOff>
      <xdr:row>136</xdr:row>
      <xdr:rowOff>115303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23677DD-FED8-45F1-9629-8540DBEB0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187</xdr:row>
      <xdr:rowOff>100262</xdr:rowOff>
    </xdr:from>
    <xdr:to>
      <xdr:col>10</xdr:col>
      <xdr:colOff>721895</xdr:colOff>
      <xdr:row>214</xdr:row>
      <xdr:rowOff>10026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3AA7908-0100-4A94-AF63-22E8D72F8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375985</xdr:colOff>
      <xdr:row>125</xdr:row>
      <xdr:rowOff>35092</xdr:rowOff>
    </xdr:from>
    <xdr:to>
      <xdr:col>12</xdr:col>
      <xdr:colOff>586539</xdr:colOff>
      <xdr:row>136</xdr:row>
      <xdr:rowOff>55145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EC2DD9-8C65-4794-A5A1-BE63CD88C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35092</xdr:colOff>
      <xdr:row>125</xdr:row>
      <xdr:rowOff>95250</xdr:rowOff>
    </xdr:from>
    <xdr:to>
      <xdr:col>5</xdr:col>
      <xdr:colOff>777040</xdr:colOff>
      <xdr:row>136</xdr:row>
      <xdr:rowOff>115303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6DFF46-FF19-45CD-911D-56681C0A6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187</xdr:row>
      <xdr:rowOff>100262</xdr:rowOff>
    </xdr:from>
    <xdr:to>
      <xdr:col>10</xdr:col>
      <xdr:colOff>721895</xdr:colOff>
      <xdr:row>214</xdr:row>
      <xdr:rowOff>10026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B0F1CB-A791-43CA-86EE-22F96F27C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406976</xdr:colOff>
      <xdr:row>0</xdr:row>
      <xdr:rowOff>78798</xdr:rowOff>
    </xdr:from>
    <xdr:to>
      <xdr:col>29</xdr:col>
      <xdr:colOff>76200</xdr:colOff>
      <xdr:row>45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042FDC-77DE-4D54-9E25-FE5D65AFF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62312</xdr:colOff>
      <xdr:row>82</xdr:row>
      <xdr:rowOff>111273</xdr:rowOff>
    </xdr:from>
    <xdr:to>
      <xdr:col>10</xdr:col>
      <xdr:colOff>414780</xdr:colOff>
      <xdr:row>106</xdr:row>
      <xdr:rowOff>145663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F3D45A-1DA4-4086-B727-E00ADC7F7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DOCUMENTOS%20IRENE/22%20Demograf&#237;a%20Avanzada%209282%20(2026-2)/DA%209282%20-%20Modelo%20bilogi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F"/>
      <sheetName val="Bilogito_anterior"/>
      <sheetName val="Bilogito"/>
      <sheetName val="Proyección TGF"/>
      <sheetName val="Proyección Bilogito"/>
    </sheetNames>
    <sheetDataSet>
      <sheetData sheetId="0"/>
      <sheetData sheetId="1"/>
      <sheetData sheetId="2">
        <row r="19">
          <cell r="B19" t="str">
            <v>Patrón estándar</v>
          </cell>
        </row>
        <row r="20">
          <cell r="B20">
            <v>7.9988592333333344E-2</v>
          </cell>
        </row>
        <row r="21">
          <cell r="B21">
            <v>0.14817534233333332</v>
          </cell>
        </row>
        <row r="22">
          <cell r="B22">
            <v>0.1364370603333333</v>
          </cell>
        </row>
        <row r="23">
          <cell r="B23">
            <v>9.7618043333333321E-2</v>
          </cell>
        </row>
        <row r="24">
          <cell r="B24">
            <v>5.2278704000000016E-2</v>
          </cell>
        </row>
        <row r="25">
          <cell r="B25">
            <v>1.6774526666666668E-2</v>
          </cell>
        </row>
        <row r="26">
          <cell r="B26">
            <v>2.6848003333333334E-3</v>
          </cell>
        </row>
        <row r="103">
          <cell r="B103">
            <v>0.64102797285709168</v>
          </cell>
        </row>
        <row r="104">
          <cell r="B104">
            <v>-0.16222360965457111</v>
          </cell>
        </row>
        <row r="105">
          <cell r="B105">
            <v>-0.96361336723916957</v>
          </cell>
        </row>
        <row r="106">
          <cell r="B106">
            <v>-1.9360233104839397</v>
          </cell>
        </row>
        <row r="107">
          <cell r="B107">
            <v>-3.2934842366341379</v>
          </cell>
        </row>
        <row r="108">
          <cell r="B108">
            <v>-5.2901897366405279</v>
          </cell>
        </row>
        <row r="122">
          <cell r="B122">
            <v>1990</v>
          </cell>
          <cell r="C122">
            <v>1991</v>
          </cell>
          <cell r="D122">
            <v>1992</v>
          </cell>
          <cell r="E122">
            <v>1993</v>
          </cell>
          <cell r="F122">
            <v>1994</v>
          </cell>
          <cell r="G122">
            <v>1995</v>
          </cell>
          <cell r="H122">
            <v>1996</v>
          </cell>
          <cell r="I122">
            <v>1997</v>
          </cell>
          <cell r="J122">
            <v>1998</v>
          </cell>
          <cell r="K122">
            <v>1999</v>
          </cell>
          <cell r="L122">
            <v>2000</v>
          </cell>
          <cell r="M122">
            <v>2001</v>
          </cell>
          <cell r="N122">
            <v>2002</v>
          </cell>
          <cell r="O122">
            <v>2003</v>
          </cell>
          <cell r="P122">
            <v>2004</v>
          </cell>
          <cell r="Q122">
            <v>2005</v>
          </cell>
          <cell r="R122">
            <v>2006</v>
          </cell>
          <cell r="S122">
            <v>2007</v>
          </cell>
          <cell r="T122">
            <v>2008</v>
          </cell>
          <cell r="U122">
            <v>2009</v>
          </cell>
          <cell r="V122">
            <v>2010</v>
          </cell>
          <cell r="W122">
            <v>2011</v>
          </cell>
          <cell r="X122">
            <v>2012</v>
          </cell>
          <cell r="Y122">
            <v>2013</v>
          </cell>
          <cell r="Z122">
            <v>2014</v>
          </cell>
          <cell r="AA122">
            <v>2015</v>
          </cell>
          <cell r="AB122">
            <v>2016</v>
          </cell>
          <cell r="AC122">
            <v>2017</v>
          </cell>
          <cell r="AD122">
            <v>2018</v>
          </cell>
          <cell r="AE122">
            <v>2019</v>
          </cell>
        </row>
        <row r="123">
          <cell r="A123" t="str">
            <v>b</v>
          </cell>
          <cell r="B123">
            <v>0.92023850604533985</v>
          </cell>
          <cell r="C123">
            <v>0.92536845292593883</v>
          </cell>
          <cell r="D123">
            <v>0.92945231578351339</v>
          </cell>
          <cell r="E123">
            <v>0.93310262938428934</v>
          </cell>
          <cell r="F123">
            <v>0.9369792610252019</v>
          </cell>
          <cell r="G123">
            <v>0.94120173515901162</v>
          </cell>
          <cell r="H123">
            <v>0.94536545298260533</v>
          </cell>
          <cell r="I123">
            <v>0.95196011175336304</v>
          </cell>
          <cell r="J123">
            <v>0.9626922058811439</v>
          </cell>
          <cell r="K123">
            <v>0.97738184774224146</v>
          </cell>
          <cell r="L123">
            <v>0.99110012427325156</v>
          </cell>
          <cell r="M123">
            <v>1.0016392024913507</v>
          </cell>
          <cell r="N123">
            <v>1.0101073380604026</v>
          </cell>
          <cell r="O123">
            <v>1.0201244651434322</v>
          </cell>
          <cell r="P123">
            <v>1.0317197517796259</v>
          </cell>
          <cell r="Q123">
            <v>1.0416153951085048</v>
          </cell>
          <cell r="R123">
            <v>1.0494778496391122</v>
          </cell>
          <cell r="S123">
            <v>1.0571477075789633</v>
          </cell>
          <cell r="T123">
            <v>1.0663534383297795</v>
          </cell>
          <cell r="U123">
            <v>1.0769712222822192</v>
          </cell>
          <cell r="V123">
            <v>1.0862267768701113</v>
          </cell>
          <cell r="W123">
            <v>1.0933378724020888</v>
          </cell>
          <cell r="X123">
            <v>1.1003694494792273</v>
          </cell>
          <cell r="Y123">
            <v>1.1108219608047523</v>
          </cell>
          <cell r="Z123">
            <v>1.1215765060527076</v>
          </cell>
          <cell r="AA123">
            <v>1.1275648504477331</v>
          </cell>
          <cell r="AB123">
            <v>1.1269116986443726</v>
          </cell>
          <cell r="AC123">
            <v>1.1218588971576338</v>
          </cell>
          <cell r="AD123">
            <v>1.1129398181466679</v>
          </cell>
          <cell r="AE123">
            <v>1.0925145147195741</v>
          </cell>
        </row>
        <row r="124">
          <cell r="A124" t="str">
            <v>a</v>
          </cell>
          <cell r="B124">
            <v>0.1068560660849838</v>
          </cell>
          <cell r="C124">
            <v>9.685712300637192E-2</v>
          </cell>
          <cell r="D124">
            <v>8.694142792047424E-2</v>
          </cell>
          <cell r="E124">
            <v>7.5195773474315442E-2</v>
          </cell>
          <cell r="F124">
            <v>6.1796897982601393E-2</v>
          </cell>
          <cell r="G124">
            <v>4.9473366311326747E-2</v>
          </cell>
          <cell r="H124">
            <v>3.6095913381805844E-2</v>
          </cell>
          <cell r="I124">
            <v>2.4985625706782921E-2</v>
          </cell>
          <cell r="J124">
            <v>1.6987842805411241E-2</v>
          </cell>
          <cell r="K124">
            <v>1.1029412880444706E-2</v>
          </cell>
          <cell r="L124">
            <v>4.311913012704921E-3</v>
          </cell>
          <cell r="M124">
            <v>-3.2771865782287579E-3</v>
          </cell>
          <cell r="N124">
            <v>-1.0265291679869726E-2</v>
          </cell>
          <cell r="O124">
            <v>-1.3028049561376348E-2</v>
          </cell>
          <cell r="P124">
            <v>-1.3938564113077728E-2</v>
          </cell>
          <cell r="Q124">
            <v>-1.5747557929949252E-2</v>
          </cell>
          <cell r="R124">
            <v>-2.0830525356204027E-2</v>
          </cell>
          <cell r="S124">
            <v>-2.89003736526946E-2</v>
          </cell>
          <cell r="T124">
            <v>-3.9587977135826985E-2</v>
          </cell>
          <cell r="U124">
            <v>-5.190674043466259E-2</v>
          </cell>
          <cell r="V124">
            <v>-6.4799361083134083E-2</v>
          </cell>
          <cell r="W124">
            <v>-7.4299951719373036E-2</v>
          </cell>
          <cell r="X124">
            <v>-7.9291457852648101E-2</v>
          </cell>
          <cell r="Y124">
            <v>-7.7508199342049056E-2</v>
          </cell>
          <cell r="Z124">
            <v>-7.281186682811186E-2</v>
          </cell>
          <cell r="AA124">
            <v>-6.4943378205385233E-2</v>
          </cell>
          <cell r="AB124">
            <v>-5.599028528362146E-2</v>
          </cell>
          <cell r="AC124">
            <v>-4.4601081061135139E-2</v>
          </cell>
          <cell r="AD124">
            <v>-2.882946897133562E-2</v>
          </cell>
          <cell r="AE124">
            <v>-9.2253229804593329E-3</v>
          </cell>
        </row>
        <row r="178">
          <cell r="B178">
            <v>1990</v>
          </cell>
          <cell r="C178">
            <v>1991</v>
          </cell>
          <cell r="D178">
            <v>1992</v>
          </cell>
          <cell r="E178">
            <v>1993</v>
          </cell>
          <cell r="F178">
            <v>1994</v>
          </cell>
          <cell r="G178">
            <v>1995</v>
          </cell>
          <cell r="H178">
            <v>1996</v>
          </cell>
          <cell r="I178">
            <v>1997</v>
          </cell>
          <cell r="J178">
            <v>1998</v>
          </cell>
          <cell r="K178">
            <v>1999</v>
          </cell>
          <cell r="L178">
            <v>2000</v>
          </cell>
          <cell r="M178">
            <v>2001</v>
          </cell>
          <cell r="N178">
            <v>2002</v>
          </cell>
          <cell r="O178">
            <v>2003</v>
          </cell>
          <cell r="P178">
            <v>2004</v>
          </cell>
          <cell r="Q178">
            <v>2005</v>
          </cell>
          <cell r="R178">
            <v>2006</v>
          </cell>
          <cell r="S178">
            <v>2007</v>
          </cell>
          <cell r="T178">
            <v>2008</v>
          </cell>
          <cell r="U178">
            <v>2009</v>
          </cell>
          <cell r="V178">
            <v>2010</v>
          </cell>
          <cell r="W178">
            <v>2011</v>
          </cell>
          <cell r="X178">
            <v>2012</v>
          </cell>
          <cell r="Y178">
            <v>2013</v>
          </cell>
          <cell r="Z178">
            <v>2014</v>
          </cell>
          <cell r="AA178">
            <v>2015</v>
          </cell>
          <cell r="AB178">
            <v>2016</v>
          </cell>
          <cell r="AC178">
            <v>2017</v>
          </cell>
          <cell r="AD178">
            <v>2018</v>
          </cell>
          <cell r="AE178">
            <v>2019</v>
          </cell>
        </row>
        <row r="179">
          <cell r="A179" t="str">
            <v>15-19</v>
          </cell>
          <cell r="B179">
            <v>9.8423969728475863E-2</v>
          </cell>
          <cell r="C179">
            <v>9.747925177121157E-2</v>
          </cell>
          <cell r="D179">
            <v>9.6296477588658558E-2</v>
          </cell>
          <cell r="E179">
            <v>9.515137755779389E-2</v>
          </cell>
          <cell r="F179">
            <v>9.4071644178998881E-2</v>
          </cell>
          <cell r="G179">
            <v>9.2703880063261954E-2</v>
          </cell>
          <cell r="H179">
            <v>9.1636644552769028E-2</v>
          </cell>
          <cell r="I179">
            <v>9.0458034124578174E-2</v>
          </cell>
          <cell r="J179">
            <v>8.9097290781379235E-2</v>
          </cell>
          <cell r="K179">
            <v>8.748409924379795E-2</v>
          </cell>
          <cell r="L179">
            <v>8.5709125397571223E-2</v>
          </cell>
          <cell r="M179">
            <v>8.3868113866356633E-2</v>
          </cell>
          <cell r="N179">
            <v>8.1857637074088815E-2</v>
          </cell>
          <cell r="O179">
            <v>7.9304008790864064E-2</v>
          </cell>
          <cell r="P179">
            <v>7.6777905339730862E-2</v>
          </cell>
          <cell r="Q179">
            <v>7.4871998378415433E-2</v>
          </cell>
          <cell r="R179">
            <v>7.3850538675938077E-2</v>
          </cell>
          <cell r="S179">
            <v>7.3403003145832715E-2</v>
          </cell>
          <cell r="T179">
            <v>7.3161867865751046E-2</v>
          </cell>
          <cell r="U179">
            <v>7.2825048420449803E-2</v>
          </cell>
          <cell r="V179">
            <v>7.2312199927849305E-2</v>
          </cell>
          <cell r="W179">
            <v>7.1278455831868939E-2</v>
          </cell>
          <cell r="X179">
            <v>6.9604466483791413E-2</v>
          </cell>
          <cell r="Y179">
            <v>6.7190982621219447E-2</v>
          </cell>
          <cell r="Z179">
            <v>6.4617463795961352E-2</v>
          </cell>
          <cell r="AA179">
            <v>6.1964030479404353E-2</v>
          </cell>
          <cell r="AB179">
            <v>5.9371291005796432E-2</v>
          </cell>
          <cell r="AC179">
            <v>5.7295883384055377E-2</v>
          </cell>
          <cell r="AD179">
            <v>5.5860448072574939E-2</v>
          </cell>
          <cell r="AE179">
            <v>5.4837066114417819E-2</v>
          </cell>
        </row>
        <row r="180">
          <cell r="A180" t="str">
            <v>20-24</v>
          </cell>
          <cell r="B180">
            <v>0.182491352011207</v>
          </cell>
          <cell r="C180">
            <v>0.1798787875019455</v>
          </cell>
          <cell r="D180">
            <v>0.1764603450956547</v>
          </cell>
          <cell r="E180">
            <v>0.17247507931045908</v>
          </cell>
          <cell r="F180">
            <v>0.16831119188971111</v>
          </cell>
          <cell r="G180">
            <v>0.16412382833379377</v>
          </cell>
          <cell r="H180">
            <v>0.16024321219293444</v>
          </cell>
          <cell r="I180">
            <v>0.15761861858419843</v>
          </cell>
          <cell r="J180">
            <v>0.1568177486350178</v>
          </cell>
          <cell r="K180">
            <v>0.1573234742431659</v>
          </cell>
          <cell r="L180">
            <v>0.15693328514119712</v>
          </cell>
          <cell r="M180">
            <v>0.15507154680246366</v>
          </cell>
          <cell r="N180">
            <v>0.15231295429017488</v>
          </cell>
          <cell r="O180">
            <v>0.14998133409466122</v>
          </cell>
          <cell r="P180">
            <v>0.14850311092768942</v>
          </cell>
          <cell r="Q180">
            <v>0.14736359418411038</v>
          </cell>
          <cell r="R180">
            <v>0.1464930837216139</v>
          </cell>
          <cell r="S180">
            <v>0.14595955750631273</v>
          </cell>
          <cell r="T180">
            <v>0.14564916431371025</v>
          </cell>
          <cell r="U180">
            <v>0.14515423854940054</v>
          </cell>
          <cell r="V180">
            <v>0.14375586286123665</v>
          </cell>
          <cell r="W180">
            <v>0.14150014166340258</v>
          </cell>
          <cell r="X180">
            <v>0.13897799609577979</v>
          </cell>
          <cell r="Y180">
            <v>0.13737919890401543</v>
          </cell>
          <cell r="Z180">
            <v>0.1360323101411916</v>
          </cell>
          <cell r="AA180">
            <v>0.13376605960781504</v>
          </cell>
          <cell r="AB180">
            <v>0.1299486496683615</v>
          </cell>
          <cell r="AC180">
            <v>0.12655352959435495</v>
          </cell>
          <cell r="AD180">
            <v>0.12446007477960822</v>
          </cell>
          <cell r="AE180">
            <v>0.12114744133621498</v>
          </cell>
        </row>
        <row r="181">
          <cell r="A181" t="str">
            <v>25-29</v>
          </cell>
          <cell r="B181">
            <v>0.18223870703855585</v>
          </cell>
          <cell r="C181">
            <v>0.17832151010567099</v>
          </cell>
          <cell r="D181">
            <v>0.17367971157222176</v>
          </cell>
          <cell r="E181">
            <v>0.16833432897464082</v>
          </cell>
          <cell r="F181">
            <v>0.162710758764154</v>
          </cell>
          <cell r="G181">
            <v>0.15727421097718464</v>
          </cell>
          <cell r="H181">
            <v>0.15210852940645628</v>
          </cell>
          <cell r="I181">
            <v>0.14840241533502591</v>
          </cell>
          <cell r="J181">
            <v>0.14668912667472164</v>
          </cell>
          <cell r="K181">
            <v>0.14633445843946147</v>
          </cell>
          <cell r="L181">
            <v>0.14507903796517094</v>
          </cell>
          <cell r="M181">
            <v>0.14243851848121863</v>
          </cell>
          <cell r="N181">
            <v>0.13909237105794631</v>
          </cell>
          <cell r="O181">
            <v>0.1365327446189982</v>
          </cell>
          <cell r="P181">
            <v>0.13490543700622243</v>
          </cell>
          <cell r="Q181">
            <v>0.13353435452951171</v>
          </cell>
          <cell r="R181">
            <v>0.13213988673335492</v>
          </cell>
          <cell r="S181">
            <v>0.13078289320612577</v>
          </cell>
          <cell r="T181">
            <v>0.12936800763356215</v>
          </cell>
          <cell r="U181">
            <v>0.1276288747614705</v>
          </cell>
          <cell r="V181">
            <v>0.12509553452591327</v>
          </cell>
          <cell r="W181">
            <v>0.12218781953153465</v>
          </cell>
          <cell r="X181">
            <v>0.11946109261812821</v>
          </cell>
          <cell r="Y181">
            <v>0.11803580682846587</v>
          </cell>
          <cell r="Z181">
            <v>0.11706660777529966</v>
          </cell>
          <cell r="AA181">
            <v>0.11565691033009408</v>
          </cell>
          <cell r="AB181">
            <v>0.11309391715017007</v>
          </cell>
          <cell r="AC181">
            <v>0.11113342120318449</v>
          </cell>
          <cell r="AD181">
            <v>0.1106959141418276</v>
          </cell>
          <cell r="AE181">
            <v>0.10959546964026325</v>
          </cell>
        </row>
        <row r="182">
          <cell r="A182" t="str">
            <v>30-34</v>
          </cell>
          <cell r="B182">
            <v>0.14422733405352994</v>
          </cell>
          <cell r="C182">
            <v>0.14004880642901293</v>
          </cell>
          <cell r="D182">
            <v>0.1354780642469901</v>
          </cell>
          <cell r="E182">
            <v>0.13037881803106607</v>
          </cell>
          <cell r="F182">
            <v>0.12503988143023934</v>
          </cell>
          <cell r="G182">
            <v>0.11993782810488589</v>
          </cell>
          <cell r="H182">
            <v>0.11507907924771819</v>
          </cell>
          <cell r="I182">
            <v>0.11126415124525746</v>
          </cell>
          <cell r="J182">
            <v>0.10875078607866985</v>
          </cell>
          <cell r="K182">
            <v>0.10701081614979474</v>
          </cell>
          <cell r="L182">
            <v>0.10469727800685082</v>
          </cell>
          <cell r="M182">
            <v>0.10166500349657515</v>
          </cell>
          <cell r="N182">
            <v>9.8370859106649777E-2</v>
          </cell>
          <cell r="O182">
            <v>9.5694962955817822E-2</v>
          </cell>
          <cell r="P182">
            <v>9.3643296226531808E-2</v>
          </cell>
          <cell r="Q182">
            <v>9.1894798455185639E-2</v>
          </cell>
          <cell r="R182">
            <v>9.0201855267592376E-2</v>
          </cell>
          <cell r="S182">
            <v>8.8480846527682719E-2</v>
          </cell>
          <cell r="T182">
            <v>8.6561307444435021E-2</v>
          </cell>
          <cell r="U182">
            <v>8.4317247705834986E-2</v>
          </cell>
          <cell r="V182">
            <v>8.1675939085551444E-2</v>
          </cell>
          <cell r="W182">
            <v>7.9070606316037781E-2</v>
          </cell>
          <cell r="X182">
            <v>7.6737082959457123E-2</v>
          </cell>
          <cell r="Y182">
            <v>7.5212608513793425E-2</v>
          </cell>
          <cell r="Z182">
            <v>7.4045313385195197E-2</v>
          </cell>
          <cell r="AA182">
            <v>7.2976203435075521E-2</v>
          </cell>
          <cell r="AB182">
            <v>7.1605464377888339E-2</v>
          </cell>
          <cell r="AC182">
            <v>7.092345433300129E-2</v>
          </cell>
          <cell r="AD182">
            <v>7.1540492009310355E-2</v>
          </cell>
          <cell r="AE182">
            <v>7.2508705859523764E-2</v>
          </cell>
        </row>
        <row r="183">
          <cell r="A183" t="str">
            <v>35-39</v>
          </cell>
          <cell r="B183">
            <v>8.6839766635682894E-2</v>
          </cell>
          <cell r="C183">
            <v>8.3628713373232869E-2</v>
          </cell>
          <cell r="D183">
            <v>8.0339534237256982E-2</v>
          </cell>
          <cell r="E183">
            <v>7.6797010404986266E-2</v>
          </cell>
          <cell r="F183">
            <v>7.3117927233087798E-2</v>
          </cell>
          <cell r="G183">
            <v>6.9613245074798671E-2</v>
          </cell>
          <cell r="H183">
            <v>6.6291568981139762E-2</v>
          </cell>
          <cell r="I183">
            <v>6.3452784866288733E-2</v>
          </cell>
          <cell r="J183">
            <v>6.1126010044441341E-2</v>
          </cell>
          <cell r="K183">
            <v>5.9019394079488127E-2</v>
          </cell>
          <cell r="L183">
            <v>5.6721591937789341E-2</v>
          </cell>
          <cell r="M183">
            <v>5.4307721667247684E-2</v>
          </cell>
          <cell r="N183">
            <v>5.194975930797642E-2</v>
          </cell>
          <cell r="O183">
            <v>4.9903236656355314E-2</v>
          </cell>
          <cell r="P183">
            <v>4.8144247332867859E-2</v>
          </cell>
          <cell r="Q183">
            <v>4.6668405845287572E-2</v>
          </cell>
          <cell r="R183">
            <v>4.5337662676967636E-2</v>
          </cell>
          <cell r="S183">
            <v>4.4005753115834489E-2</v>
          </cell>
          <cell r="T183">
            <v>4.2504219382003564E-2</v>
          </cell>
          <cell r="U183">
            <v>4.0798734070770448E-2</v>
          </cell>
          <cell r="V183">
            <v>3.9007450216999591E-2</v>
          </cell>
          <cell r="W183">
            <v>3.738950900554483E-2</v>
          </cell>
          <cell r="X183">
            <v>3.595498716603112E-2</v>
          </cell>
          <cell r="Y183">
            <v>3.4810553455447438E-2</v>
          </cell>
          <cell r="Z183">
            <v>3.3854021091059637E-2</v>
          </cell>
          <cell r="AA183">
            <v>3.3163897478147332E-2</v>
          </cell>
          <cell r="AB183">
            <v>3.260854844052298E-2</v>
          </cell>
          <cell r="AC183">
            <v>3.2548642695544909E-2</v>
          </cell>
          <cell r="AD183">
            <v>3.3264011015019163E-2</v>
          </cell>
          <cell r="AE183">
            <v>3.4659279403589933E-2</v>
          </cell>
        </row>
        <row r="184">
          <cell r="A184" t="str">
            <v>40-44</v>
          </cell>
          <cell r="B184">
            <v>3.207558081099534E-2</v>
          </cell>
          <cell r="C184">
            <v>3.0597675024844274E-2</v>
          </cell>
          <cell r="D184">
            <v>2.9168793196886617E-2</v>
          </cell>
          <cell r="E184">
            <v>2.7685330708107646E-2</v>
          </cell>
          <cell r="F184">
            <v>2.6159845549071119E-2</v>
          </cell>
          <cell r="G184">
            <v>2.4706514209369493E-2</v>
          </cell>
          <cell r="H184">
            <v>2.3340332870299865E-2</v>
          </cell>
          <cell r="I184">
            <v>2.2078426276634762E-2</v>
          </cell>
          <cell r="J184">
            <v>2.08814062179438E-2</v>
          </cell>
          <cell r="K184">
            <v>1.967000032274685E-2</v>
          </cell>
          <cell r="L184">
            <v>1.8473391776410625E-2</v>
          </cell>
          <cell r="M184">
            <v>1.7374922335171551E-2</v>
          </cell>
          <cell r="N184">
            <v>1.6384055360558716E-2</v>
          </cell>
          <cell r="O184">
            <v>1.548045716354423E-2</v>
          </cell>
          <cell r="P184">
            <v>1.4654469814153694E-2</v>
          </cell>
          <cell r="Q184">
            <v>1.3976975309344787E-2</v>
          </cell>
          <cell r="R184">
            <v>1.3402097935875171E-2</v>
          </cell>
          <cell r="S184">
            <v>1.2841527703270515E-2</v>
          </cell>
          <cell r="T184">
            <v>1.2212518727829755E-2</v>
          </cell>
          <cell r="U184">
            <v>1.1515482917625459E-2</v>
          </cell>
          <cell r="V184">
            <v>1.0839549351160183E-2</v>
          </cell>
          <cell r="W184">
            <v>1.0266856010978693E-2</v>
          </cell>
          <cell r="X184">
            <v>9.7598676715143981E-3</v>
          </cell>
          <cell r="Y184">
            <v>9.2935990474305018E-3</v>
          </cell>
          <cell r="Z184">
            <v>8.8866792588723261E-3</v>
          </cell>
          <cell r="AA184">
            <v>8.6263398940876115E-3</v>
          </cell>
          <cell r="AB184">
            <v>8.4946196426336756E-3</v>
          </cell>
          <cell r="AC184">
            <v>8.5526944536430862E-3</v>
          </cell>
          <cell r="AD184">
            <v>8.8736449422682946E-3</v>
          </cell>
          <cell r="AE184">
            <v>9.5643515456245946E-3</v>
          </cell>
        </row>
        <row r="185">
          <cell r="A185" t="str">
            <v>45-49</v>
          </cell>
          <cell r="B185">
            <v>6.2392397215531616E-3</v>
          </cell>
          <cell r="C185">
            <v>5.8755957940817821E-3</v>
          </cell>
          <cell r="D185">
            <v>5.5439640623314067E-3</v>
          </cell>
          <cell r="E185">
            <v>5.2136650129462553E-3</v>
          </cell>
          <cell r="F185">
            <v>4.8783609547378426E-3</v>
          </cell>
          <cell r="G185">
            <v>4.55883323670561E-3</v>
          </cell>
          <cell r="H185">
            <v>4.2620427486823502E-3</v>
          </cell>
          <cell r="I185">
            <v>3.9666695680165079E-3</v>
          </cell>
          <cell r="J185">
            <v>3.655001567826536E-3</v>
          </cell>
          <cell r="K185">
            <v>3.3232275215449251E-3</v>
          </cell>
          <cell r="L185">
            <v>3.0201297750100018E-3</v>
          </cell>
          <cell r="M185">
            <v>2.7699433509667435E-3</v>
          </cell>
          <cell r="N185">
            <v>2.5598538026051017E-3</v>
          </cell>
          <cell r="O185">
            <v>2.362125719759189E-3</v>
          </cell>
          <cell r="P185">
            <v>2.1760133528039688E-3</v>
          </cell>
          <cell r="Q185">
            <v>2.0278832981444894E-3</v>
          </cell>
          <cell r="R185">
            <v>1.9090149886579241E-3</v>
          </cell>
          <cell r="S185">
            <v>1.7966287949411548E-3</v>
          </cell>
          <cell r="T185">
            <v>1.6723046327082548E-3</v>
          </cell>
          <cell r="U185">
            <v>1.5384035744482288E-3</v>
          </cell>
          <cell r="V185">
            <v>1.4173440312896088E-3</v>
          </cell>
          <cell r="W185">
            <v>1.320571640632475E-3</v>
          </cell>
          <cell r="X185">
            <v>1.2352370052977988E-3</v>
          </cell>
          <cell r="Y185">
            <v>1.1485106296278854E-3</v>
          </cell>
          <cell r="Z185">
            <v>1.071724552420173E-3</v>
          </cell>
          <cell r="AA185">
            <v>1.026368775376045E-3</v>
          </cell>
          <cell r="AB185">
            <v>1.0122997146269719E-3</v>
          </cell>
          <cell r="AC185">
            <v>1.0311243362159635E-3</v>
          </cell>
          <cell r="AD185">
            <v>1.0919750393914502E-3</v>
          </cell>
          <cell r="AE185">
            <v>1.2335861003656711E-3</v>
          </cell>
        </row>
      </sheetData>
      <sheetData sheetId="3">
        <row r="1">
          <cell r="B1" t="str">
            <v>TGF</v>
          </cell>
        </row>
        <row r="2">
          <cell r="A2">
            <v>1990</v>
          </cell>
          <cell r="B2">
            <v>3.6626797500000006</v>
          </cell>
        </row>
        <row r="3">
          <cell r="A3">
            <v>1991</v>
          </cell>
          <cell r="B3">
            <v>3.5791516999999997</v>
          </cell>
        </row>
        <row r="4">
          <cell r="A4">
            <v>1992</v>
          </cell>
          <cell r="B4">
            <v>3.4848344500000001</v>
          </cell>
        </row>
        <row r="5">
          <cell r="A5">
            <v>1993</v>
          </cell>
          <cell r="B5">
            <v>3.38017805</v>
          </cell>
        </row>
        <row r="6">
          <cell r="A6">
            <v>1994</v>
          </cell>
          <cell r="B6">
            <v>3.2714480500000005</v>
          </cell>
        </row>
        <row r="7">
          <cell r="A7">
            <v>1995</v>
          </cell>
          <cell r="B7">
            <v>3.1645916999999999</v>
          </cell>
        </row>
        <row r="8">
          <cell r="A8">
            <v>1996</v>
          </cell>
          <cell r="B8">
            <v>3.0648070499999998</v>
          </cell>
        </row>
        <row r="9">
          <cell r="A9">
            <v>1997</v>
          </cell>
          <cell r="B9">
            <v>2.9862054999999996</v>
          </cell>
        </row>
        <row r="10">
          <cell r="A10">
            <v>1998</v>
          </cell>
          <cell r="B10">
            <v>2.9350868500000002</v>
          </cell>
        </row>
        <row r="11">
          <cell r="A11">
            <v>1999</v>
          </cell>
          <cell r="B11">
            <v>2.9008273499999992</v>
          </cell>
        </row>
        <row r="12">
          <cell r="A12">
            <v>2000</v>
          </cell>
          <cell r="B12">
            <v>2.8531692000000004</v>
          </cell>
        </row>
        <row r="13">
          <cell r="A13">
            <v>2001</v>
          </cell>
          <cell r="B13">
            <v>2.7874788500000003</v>
          </cell>
        </row>
        <row r="14">
          <cell r="A14">
            <v>2002</v>
          </cell>
          <cell r="B14">
            <v>2.7126374500000008</v>
          </cell>
        </row>
        <row r="15">
          <cell r="A15">
            <v>2003</v>
          </cell>
          <cell r="B15">
            <v>2.6462943499999998</v>
          </cell>
        </row>
        <row r="16">
          <cell r="A16">
            <v>2004</v>
          </cell>
          <cell r="B16">
            <v>2.5940224000000001</v>
          </cell>
        </row>
        <row r="17">
          <cell r="A17">
            <v>2005</v>
          </cell>
          <cell r="B17">
            <v>2.5516900499999999</v>
          </cell>
        </row>
        <row r="18">
          <cell r="A18">
            <v>2006</v>
          </cell>
          <cell r="B18">
            <v>2.5166706999999997</v>
          </cell>
        </row>
        <row r="19">
          <cell r="A19">
            <v>2007</v>
          </cell>
          <cell r="B19">
            <v>2.4863510500000006</v>
          </cell>
        </row>
        <row r="20">
          <cell r="A20">
            <v>2008</v>
          </cell>
          <cell r="B20">
            <v>2.4556469500000002</v>
          </cell>
        </row>
        <row r="21">
          <cell r="A21">
            <v>2009</v>
          </cell>
          <cell r="B21">
            <v>2.4188901499999997</v>
          </cell>
        </row>
        <row r="22">
          <cell r="A22">
            <v>2010</v>
          </cell>
          <cell r="B22">
            <v>2.3705194000000001</v>
          </cell>
        </row>
        <row r="23">
          <cell r="A23">
            <v>2011</v>
          </cell>
          <cell r="B23">
            <v>2.3150697999999998</v>
          </cell>
        </row>
        <row r="24">
          <cell r="A24">
            <v>2012</v>
          </cell>
          <cell r="B24">
            <v>2.2586536499999994</v>
          </cell>
        </row>
        <row r="25">
          <cell r="A25">
            <v>2013</v>
          </cell>
          <cell r="B25">
            <v>2.2153562999999998</v>
          </cell>
        </row>
        <row r="26">
          <cell r="A26">
            <v>2014</v>
          </cell>
          <cell r="B26">
            <v>2.1778705999999994</v>
          </cell>
        </row>
        <row r="27">
          <cell r="A27">
            <v>2015</v>
          </cell>
          <cell r="B27">
            <v>2.1358990499999999</v>
          </cell>
        </row>
        <row r="28">
          <cell r="A28">
            <v>2016</v>
          </cell>
          <cell r="B28">
            <v>2.0806739499999996</v>
          </cell>
        </row>
        <row r="29">
          <cell r="A29">
            <v>2017</v>
          </cell>
          <cell r="B29">
            <v>2.0401937500000003</v>
          </cell>
        </row>
        <row r="30">
          <cell r="A30">
            <v>2018</v>
          </cell>
          <cell r="B30">
            <v>2.0289327999999998</v>
          </cell>
        </row>
        <row r="31">
          <cell r="A31">
            <v>2019</v>
          </cell>
          <cell r="B31">
            <v>2.0177295000000002</v>
          </cell>
        </row>
      </sheetData>
      <sheetData sheetId="4">
        <row r="73">
          <cell r="AF73">
            <v>2020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9B79-3F73-4FA5-915F-35F295D7CECE}">
  <sheetPr codeName="Hoja1">
    <tabColor theme="7" tint="0.79998168889431442"/>
  </sheetPr>
  <dimension ref="A1:AF186"/>
  <sheetViews>
    <sheetView topLeftCell="A170" zoomScale="190" zoomScaleNormal="190" workbookViewId="0">
      <selection activeCell="B179" sqref="B179"/>
    </sheetView>
  </sheetViews>
  <sheetFormatPr baseColWidth="10" defaultColWidth="11.5" defaultRowHeight="12"/>
  <cols>
    <col min="1" max="1" width="16.5" style="1" customWidth="1"/>
    <col min="2" max="3" width="11.5" style="1"/>
    <col min="4" max="4" width="10.5" style="1" customWidth="1"/>
    <col min="5" max="16384" width="11.5" style="1"/>
  </cols>
  <sheetData>
    <row r="1" spans="1:31">
      <c r="A1" s="19"/>
      <c r="B1" s="19"/>
      <c r="C1" s="3"/>
    </row>
    <row r="2" spans="1:31">
      <c r="A2" s="1" t="s">
        <v>24</v>
      </c>
    </row>
    <row r="4" spans="1:31" s="6" customFormat="1">
      <c r="A4" s="5" t="s">
        <v>1</v>
      </c>
    </row>
    <row r="5" spans="1:31">
      <c r="A5" s="1" t="s">
        <v>25</v>
      </c>
    </row>
    <row r="7" spans="1:31" ht="13">
      <c r="A7" s="9" t="s">
        <v>23</v>
      </c>
      <c r="B7" s="10">
        <v>1990</v>
      </c>
      <c r="C7" s="10">
        <v>1991</v>
      </c>
      <c r="D7" s="10">
        <v>1992</v>
      </c>
      <c r="E7" s="10">
        <v>1993</v>
      </c>
      <c r="F7" s="10">
        <v>1994</v>
      </c>
      <c r="G7" s="10">
        <v>1995</v>
      </c>
      <c r="H7" s="10">
        <v>1996</v>
      </c>
      <c r="I7" s="10">
        <v>1997</v>
      </c>
      <c r="J7" s="10">
        <v>1998</v>
      </c>
      <c r="K7" s="10">
        <v>1999</v>
      </c>
      <c r="L7" s="10">
        <v>2000</v>
      </c>
      <c r="M7" s="10">
        <v>2001</v>
      </c>
      <c r="N7" s="10">
        <v>2002</v>
      </c>
      <c r="O7" s="10">
        <v>2003</v>
      </c>
      <c r="P7" s="10">
        <v>2004</v>
      </c>
      <c r="Q7" s="10">
        <v>2005</v>
      </c>
      <c r="R7" s="10">
        <v>2006</v>
      </c>
      <c r="S7" s="10">
        <v>2007</v>
      </c>
      <c r="T7" s="10">
        <v>2008</v>
      </c>
      <c r="U7" s="10">
        <v>2009</v>
      </c>
      <c r="V7" s="10">
        <v>2010</v>
      </c>
      <c r="W7" s="10">
        <v>2011</v>
      </c>
      <c r="X7" s="10">
        <v>2012</v>
      </c>
      <c r="Y7" s="10">
        <v>2013</v>
      </c>
      <c r="Z7" s="10">
        <v>2014</v>
      </c>
      <c r="AA7" s="10">
        <v>2015</v>
      </c>
      <c r="AB7" s="10">
        <v>2016</v>
      </c>
      <c r="AC7" s="10">
        <v>2017</v>
      </c>
      <c r="AD7" s="10">
        <v>2018</v>
      </c>
      <c r="AE7" s="10">
        <v>2019</v>
      </c>
    </row>
    <row r="8" spans="1:31" ht="13">
      <c r="A8" s="9" t="s">
        <v>16</v>
      </c>
      <c r="B8" s="11">
        <v>9.0233160000000007E-2</v>
      </c>
      <c r="C8" s="11">
        <v>8.9794239999999997E-2</v>
      </c>
      <c r="D8" s="11">
        <v>8.9321380000000006E-2</v>
      </c>
      <c r="E8" s="11">
        <v>8.8592820000000003E-2</v>
      </c>
      <c r="F8" s="11">
        <v>8.7669079999999996E-2</v>
      </c>
      <c r="G8" s="11">
        <v>8.6776210000000006E-2</v>
      </c>
      <c r="H8" s="11">
        <v>8.6097919999999994E-2</v>
      </c>
      <c r="I8" s="11">
        <v>8.5563920000000002E-2</v>
      </c>
      <c r="J8" s="11">
        <v>8.498493E-2</v>
      </c>
      <c r="K8" s="11">
        <v>8.4279889999999996E-2</v>
      </c>
      <c r="L8" s="11">
        <v>8.3493680000000001E-2</v>
      </c>
      <c r="M8" s="11">
        <v>8.2617839999999998E-2</v>
      </c>
      <c r="N8" s="11">
        <v>8.1652390000000005E-2</v>
      </c>
      <c r="O8" s="11">
        <v>8.0575679999999997E-2</v>
      </c>
      <c r="P8" s="11">
        <v>7.9516130000000004E-2</v>
      </c>
      <c r="Q8" s="11">
        <v>7.8667210000000001E-2</v>
      </c>
      <c r="R8" s="11">
        <v>7.8193700000000005E-2</v>
      </c>
      <c r="S8" s="11">
        <v>7.8115690000000002E-2</v>
      </c>
      <c r="T8" s="11">
        <v>7.8321459999999996E-2</v>
      </c>
      <c r="U8" s="11">
        <v>7.8534589999999987E-2</v>
      </c>
      <c r="V8" s="11">
        <v>7.8512860000000004E-2</v>
      </c>
      <c r="W8" s="11">
        <v>7.8118430000000003E-2</v>
      </c>
      <c r="X8" s="11">
        <v>7.7317919999999998E-2</v>
      </c>
      <c r="Y8" s="11">
        <v>7.6132199999999997E-2</v>
      </c>
      <c r="Z8" s="11">
        <v>7.4495980000000003E-2</v>
      </c>
      <c r="AA8" s="11">
        <v>7.2381669999999995E-2</v>
      </c>
      <c r="AB8" s="11">
        <v>6.9845840000000006E-2</v>
      </c>
      <c r="AC8" s="11">
        <v>6.7968529999999999E-2</v>
      </c>
      <c r="AD8" s="11">
        <v>6.6774730000000004E-2</v>
      </c>
      <c r="AE8" s="11">
        <v>6.5107689999999996E-2</v>
      </c>
    </row>
    <row r="9" spans="1:31" ht="13">
      <c r="A9" s="9" t="s">
        <v>17</v>
      </c>
      <c r="B9" s="11">
        <v>0.19252694000000001</v>
      </c>
      <c r="C9" s="11">
        <v>0.18921925000000001</v>
      </c>
      <c r="D9" s="11">
        <v>0.18490076999999999</v>
      </c>
      <c r="E9" s="11">
        <v>0.18028378</v>
      </c>
      <c r="F9" s="11">
        <v>0.17554268000000001</v>
      </c>
      <c r="G9" s="11">
        <v>0.17052034999999999</v>
      </c>
      <c r="H9" s="11">
        <v>0.1658955</v>
      </c>
      <c r="I9" s="11">
        <v>0.16256274000000001</v>
      </c>
      <c r="J9" s="11">
        <v>0.16123892000000001</v>
      </c>
      <c r="K9" s="11">
        <v>0.16084346999999999</v>
      </c>
      <c r="L9" s="11">
        <v>0.15935642</v>
      </c>
      <c r="M9" s="11">
        <v>0.15632101000000001</v>
      </c>
      <c r="N9" s="11">
        <v>0.15253087000000001</v>
      </c>
      <c r="O9" s="11">
        <v>0.14862855999999999</v>
      </c>
      <c r="P9" s="11">
        <v>0.14550888000000001</v>
      </c>
      <c r="Q9" s="11">
        <v>0.14303837999999999</v>
      </c>
      <c r="R9" s="11">
        <v>0.1415167</v>
      </c>
      <c r="S9" s="11">
        <v>0.14077909999999999</v>
      </c>
      <c r="T9" s="11">
        <v>0.14025657999999999</v>
      </c>
      <c r="U9" s="11">
        <v>0.13938418999999999</v>
      </c>
      <c r="V9" s="11">
        <v>0.13760848000000001</v>
      </c>
      <c r="W9" s="11">
        <v>0.13467939000000001</v>
      </c>
      <c r="X9" s="11">
        <v>0.13128820999999999</v>
      </c>
      <c r="Y9" s="11">
        <v>0.12845309999999999</v>
      </c>
      <c r="Z9" s="11">
        <v>0.12598376999999999</v>
      </c>
      <c r="AA9" s="11">
        <v>0.12279640999999999</v>
      </c>
      <c r="AB9" s="11">
        <v>0.11835452</v>
      </c>
      <c r="AC9" s="11">
        <v>0.11431439</v>
      </c>
      <c r="AD9" s="11">
        <v>0.11174587</v>
      </c>
      <c r="AE9" s="11">
        <v>0.10918103999999999</v>
      </c>
    </row>
    <row r="10" spans="1:31" ht="13">
      <c r="A10" s="9" t="s">
        <v>18</v>
      </c>
      <c r="B10" s="11">
        <v>0.18786406</v>
      </c>
      <c r="C10" s="11">
        <v>0.18361131</v>
      </c>
      <c r="D10" s="11">
        <v>0.17843484000000001</v>
      </c>
      <c r="E10" s="11">
        <v>0.17291133</v>
      </c>
      <c r="F10" s="11">
        <v>0.16773778</v>
      </c>
      <c r="G10" s="11">
        <v>0.16233992</v>
      </c>
      <c r="H10" s="11">
        <v>0.15729666</v>
      </c>
      <c r="I10" s="11">
        <v>0.15299309</v>
      </c>
      <c r="J10" s="11">
        <v>0.15003626</v>
      </c>
      <c r="K10" s="11">
        <v>0.14878474999999999</v>
      </c>
      <c r="L10" s="11">
        <v>0.14676963000000001</v>
      </c>
      <c r="M10" s="11">
        <v>0.14358071</v>
      </c>
      <c r="N10" s="11">
        <v>0.13925581000000001</v>
      </c>
      <c r="O10" s="11">
        <v>0.13553114999999999</v>
      </c>
      <c r="P10" s="11">
        <v>0.13289514999999999</v>
      </c>
      <c r="Q10" s="11">
        <v>0.13106013</v>
      </c>
      <c r="R10" s="11">
        <v>0.12938509000000001</v>
      </c>
      <c r="S10" s="11">
        <v>0.12747225000000001</v>
      </c>
      <c r="T10" s="11">
        <v>0.12534487</v>
      </c>
      <c r="U10" s="11">
        <v>0.12293889</v>
      </c>
      <c r="V10" s="11">
        <v>0.1199081</v>
      </c>
      <c r="W10" s="11">
        <v>0.11661816</v>
      </c>
      <c r="X10" s="11">
        <v>0.11323161000000001</v>
      </c>
      <c r="Y10" s="11">
        <v>0.11083061</v>
      </c>
      <c r="Z10" s="11">
        <v>0.10937845</v>
      </c>
      <c r="AA10" s="11">
        <v>0.10808481</v>
      </c>
      <c r="AB10" s="11">
        <v>0.10631725</v>
      </c>
      <c r="AC10" s="11">
        <v>0.10479963</v>
      </c>
      <c r="AD10" s="11">
        <v>0.10434263000000001</v>
      </c>
      <c r="AE10" s="11">
        <v>0.10335688</v>
      </c>
    </row>
    <row r="11" spans="1:31" ht="13">
      <c r="A11" s="9" t="s">
        <v>19</v>
      </c>
      <c r="B11" s="11">
        <v>0.13976904000000001</v>
      </c>
      <c r="C11" s="11">
        <v>0.13612700999999999</v>
      </c>
      <c r="D11" s="11">
        <v>0.13245527000000001</v>
      </c>
      <c r="E11" s="11">
        <v>0.1281178</v>
      </c>
      <c r="F11" s="11">
        <v>0.12291038</v>
      </c>
      <c r="G11" s="11">
        <v>0.11778294</v>
      </c>
      <c r="H11" s="11">
        <v>0.1124164</v>
      </c>
      <c r="I11" s="11">
        <v>0.10854243</v>
      </c>
      <c r="J11" s="11">
        <v>0.10639692000000001</v>
      </c>
      <c r="K11" s="11">
        <v>0.10530112</v>
      </c>
      <c r="L11" s="11">
        <v>0.10363379</v>
      </c>
      <c r="M11" s="11">
        <v>0.10123952</v>
      </c>
      <c r="N11" s="11">
        <v>9.8782599999999998E-2</v>
      </c>
      <c r="O11" s="11">
        <v>9.6978780000000001E-2</v>
      </c>
      <c r="P11" s="11">
        <v>9.5649200000000004E-2</v>
      </c>
      <c r="Q11" s="11">
        <v>9.4099870000000002E-2</v>
      </c>
      <c r="R11" s="11">
        <v>9.2316860000000001E-2</v>
      </c>
      <c r="S11" s="11">
        <v>9.0413090000000002E-2</v>
      </c>
      <c r="T11" s="11">
        <v>8.8508970000000006E-2</v>
      </c>
      <c r="U11" s="11">
        <v>8.6372589999999999E-2</v>
      </c>
      <c r="V11" s="11">
        <v>8.377685E-2</v>
      </c>
      <c r="W11" s="11">
        <v>8.1257629999999997E-2</v>
      </c>
      <c r="X11" s="11">
        <v>7.8985529999999998E-2</v>
      </c>
      <c r="Y11" s="11">
        <v>7.7643039999999997E-2</v>
      </c>
      <c r="Z11" s="11">
        <v>7.6603690000000002E-2</v>
      </c>
      <c r="AA11" s="11">
        <v>7.5781899999999999E-2</v>
      </c>
      <c r="AB11" s="11">
        <v>7.440186E-2</v>
      </c>
      <c r="AC11" s="11">
        <v>7.3634889999999995E-2</v>
      </c>
      <c r="AD11" s="11">
        <v>7.4045020000000003E-2</v>
      </c>
      <c r="AE11" s="11">
        <v>7.4596309999999999E-2</v>
      </c>
    </row>
    <row r="12" spans="1:31" ht="13">
      <c r="A12" s="9" t="s">
        <v>20</v>
      </c>
      <c r="B12" s="11">
        <v>8.5097740000000005E-2</v>
      </c>
      <c r="C12" s="11">
        <v>8.1589010000000003E-2</v>
      </c>
      <c r="D12" s="11">
        <v>7.7796169999999998E-2</v>
      </c>
      <c r="E12" s="11">
        <v>7.3522900000000002E-2</v>
      </c>
      <c r="F12" s="11">
        <v>6.9411810000000004E-2</v>
      </c>
      <c r="G12" s="11">
        <v>6.6157530000000006E-2</v>
      </c>
      <c r="H12" s="11">
        <v>6.3576199999999999E-2</v>
      </c>
      <c r="I12" s="11">
        <v>6.1489059999999998E-2</v>
      </c>
      <c r="J12" s="11">
        <v>5.9824500000000003E-2</v>
      </c>
      <c r="K12" s="11">
        <v>5.7968690000000003E-2</v>
      </c>
      <c r="L12" s="11">
        <v>5.5833519999999998E-2</v>
      </c>
      <c r="M12" s="11">
        <v>5.3425510000000002E-2</v>
      </c>
      <c r="N12" s="11">
        <v>5.1048250000000003E-2</v>
      </c>
      <c r="O12" s="11">
        <v>4.9303880000000001E-2</v>
      </c>
      <c r="P12" s="11">
        <v>4.800861E-2</v>
      </c>
      <c r="Q12" s="11">
        <v>4.7178489999999997E-2</v>
      </c>
      <c r="R12" s="11">
        <v>4.6463810000000001E-2</v>
      </c>
      <c r="S12" s="11">
        <v>4.5808950000000001E-2</v>
      </c>
      <c r="T12" s="11">
        <v>4.4764030000000003E-2</v>
      </c>
      <c r="U12" s="11">
        <v>4.3337340000000002E-2</v>
      </c>
      <c r="V12" s="11">
        <v>4.171267E-2</v>
      </c>
      <c r="W12" s="11">
        <v>4.0244849999999999E-2</v>
      </c>
      <c r="X12" s="11">
        <v>3.922929E-2</v>
      </c>
      <c r="Y12" s="11">
        <v>3.872453E-2</v>
      </c>
      <c r="Z12" s="11">
        <v>3.8165020000000001E-2</v>
      </c>
      <c r="AA12" s="11">
        <v>3.7427460000000003E-2</v>
      </c>
      <c r="AB12" s="11">
        <v>3.6672450000000002E-2</v>
      </c>
      <c r="AC12" s="11">
        <v>3.6745680000000003E-2</v>
      </c>
      <c r="AD12" s="11">
        <v>3.8015359999999998E-2</v>
      </c>
      <c r="AE12" s="11">
        <v>3.9817810000000002E-2</v>
      </c>
    </row>
    <row r="13" spans="1:31" ht="13">
      <c r="A13" s="9" t="s">
        <v>21</v>
      </c>
      <c r="B13" s="11">
        <v>3.0412700000000001E-2</v>
      </c>
      <c r="C13" s="11">
        <v>2.927691E-2</v>
      </c>
      <c r="D13" s="11">
        <v>2.822933E-2</v>
      </c>
      <c r="E13" s="11">
        <v>2.715302E-2</v>
      </c>
      <c r="F13" s="11">
        <v>2.5939259999999999E-2</v>
      </c>
      <c r="G13" s="11">
        <v>2.46199E-2</v>
      </c>
      <c r="H13" s="11">
        <v>2.3295449999999999E-2</v>
      </c>
      <c r="I13" s="11">
        <v>2.203625E-2</v>
      </c>
      <c r="J13" s="11">
        <v>2.0819839999999999E-2</v>
      </c>
      <c r="K13" s="11">
        <v>1.9616769999999999E-2</v>
      </c>
      <c r="L13" s="11">
        <v>1.849934E-2</v>
      </c>
      <c r="M13" s="11">
        <v>1.7535680000000001E-2</v>
      </c>
      <c r="N13" s="11">
        <v>1.671752E-2</v>
      </c>
      <c r="O13" s="11">
        <v>1.5923690000000001E-2</v>
      </c>
      <c r="P13" s="11">
        <v>1.511031E-2</v>
      </c>
      <c r="Q13" s="11">
        <v>1.432927E-2</v>
      </c>
      <c r="R13" s="11">
        <v>1.3608749999999999E-2</v>
      </c>
      <c r="S13" s="11">
        <v>1.294798E-2</v>
      </c>
      <c r="T13" s="11">
        <v>1.2336679999999999E-2</v>
      </c>
      <c r="U13" s="11">
        <v>1.176726E-2</v>
      </c>
      <c r="V13" s="11">
        <v>1.128652E-2</v>
      </c>
      <c r="W13" s="11">
        <v>1.09169E-2</v>
      </c>
      <c r="X13" s="11">
        <v>1.061137E-2</v>
      </c>
      <c r="Y13" s="11">
        <v>1.033281E-2</v>
      </c>
      <c r="Z13" s="11">
        <v>1.008408E-2</v>
      </c>
      <c r="AA13" s="11">
        <v>9.8909700000000007E-3</v>
      </c>
      <c r="AB13" s="11">
        <v>9.7349299999999993E-3</v>
      </c>
      <c r="AC13" s="11">
        <v>9.75029E-3</v>
      </c>
      <c r="AD13" s="11">
        <v>9.9845000000000003E-3</v>
      </c>
      <c r="AE13" s="11">
        <v>1.0467519999999999E-2</v>
      </c>
    </row>
    <row r="14" spans="1:31" ht="13">
      <c r="A14" s="9" t="s">
        <v>22</v>
      </c>
      <c r="B14" s="11">
        <v>6.6323099999999998E-3</v>
      </c>
      <c r="C14" s="11">
        <v>6.2126100000000004E-3</v>
      </c>
      <c r="D14" s="11">
        <v>5.8291300000000001E-3</v>
      </c>
      <c r="E14" s="11">
        <v>5.4539599999999999E-3</v>
      </c>
      <c r="F14" s="11">
        <v>5.0786199999999998E-3</v>
      </c>
      <c r="G14" s="11">
        <v>4.7214900000000001E-3</v>
      </c>
      <c r="H14" s="11">
        <v>4.3832799999999998E-3</v>
      </c>
      <c r="I14" s="11">
        <v>4.05361E-3</v>
      </c>
      <c r="J14" s="11">
        <v>3.7160000000000001E-3</v>
      </c>
      <c r="K14" s="11">
        <v>3.3707799999999999E-3</v>
      </c>
      <c r="L14" s="11">
        <v>3.0474600000000001E-3</v>
      </c>
      <c r="M14" s="11">
        <v>2.7755000000000002E-3</v>
      </c>
      <c r="N14" s="11">
        <v>2.5400499999999999E-3</v>
      </c>
      <c r="O14" s="11">
        <v>2.3171300000000001E-3</v>
      </c>
      <c r="P14" s="11">
        <v>2.1161999999999999E-3</v>
      </c>
      <c r="Q14" s="11">
        <v>1.96466E-3</v>
      </c>
      <c r="R14" s="11">
        <v>1.8492300000000001E-3</v>
      </c>
      <c r="S14" s="11">
        <v>1.7331499999999999E-3</v>
      </c>
      <c r="T14" s="11">
        <v>1.5968E-3</v>
      </c>
      <c r="U14" s="11">
        <v>1.4431699999999999E-3</v>
      </c>
      <c r="V14" s="11">
        <v>1.2983999999999999E-3</v>
      </c>
      <c r="W14" s="11">
        <v>1.1785999999999999E-3</v>
      </c>
      <c r="X14" s="11">
        <v>1.0667999999999999E-3</v>
      </c>
      <c r="Y14" s="11">
        <v>9.5496999999999997E-4</v>
      </c>
      <c r="Z14" s="11">
        <v>8.6313000000000004E-4</v>
      </c>
      <c r="AA14" s="11">
        <v>8.1658999999999996E-4</v>
      </c>
      <c r="AB14" s="11">
        <v>8.0794000000000016E-4</v>
      </c>
      <c r="AC14" s="11">
        <v>8.2534000000000004E-4</v>
      </c>
      <c r="AD14" s="11">
        <v>8.7845000000000002E-4</v>
      </c>
      <c r="AE14" s="11">
        <v>1.0186500000000001E-3</v>
      </c>
    </row>
    <row r="16" spans="1:31" s="6" customFormat="1">
      <c r="A16" s="5" t="s">
        <v>2</v>
      </c>
    </row>
    <row r="17" spans="1:31">
      <c r="A17" s="1" t="s">
        <v>26</v>
      </c>
    </row>
    <row r="19" spans="1:31" ht="13">
      <c r="A19" s="9" t="s">
        <v>23</v>
      </c>
      <c r="B19" s="10" t="s">
        <v>27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3">
      <c r="A20" s="9" t="s">
        <v>16</v>
      </c>
      <c r="B20" s="11">
        <f>AVERAGE(B8:AE8)</f>
        <v>7.9988592333333344E-2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ht="13">
      <c r="A21" s="9" t="s">
        <v>17</v>
      </c>
      <c r="B21" s="11">
        <f t="shared" ref="B21:B26" si="0">AVERAGE(B9:AE9)</f>
        <v>0.14817534233333332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3">
      <c r="A22" s="9" t="s">
        <v>18</v>
      </c>
      <c r="B22" s="11">
        <f t="shared" si="0"/>
        <v>0.1364370603333333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ht="13">
      <c r="A23" s="9" t="s">
        <v>19</v>
      </c>
      <c r="B23" s="11">
        <f t="shared" si="0"/>
        <v>9.7618043333333321E-2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ht="13">
      <c r="A24" s="9" t="s">
        <v>20</v>
      </c>
      <c r="B24" s="11">
        <f t="shared" si="0"/>
        <v>5.2278704000000016E-2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ht="13">
      <c r="A25" s="9" t="s">
        <v>21</v>
      </c>
      <c r="B25" s="11">
        <f t="shared" si="0"/>
        <v>1.6774526666666668E-2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ht="13">
      <c r="A26" s="9" t="s">
        <v>22</v>
      </c>
      <c r="B26" s="11">
        <f t="shared" si="0"/>
        <v>2.6848003333333334E-3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8" spans="1:31" s="6" customFormat="1">
      <c r="A28" s="5" t="s">
        <v>3</v>
      </c>
    </row>
    <row r="29" spans="1:31">
      <c r="A29" s="1" t="s">
        <v>28</v>
      </c>
    </row>
    <row r="31" spans="1:31" ht="13">
      <c r="A31" s="9" t="s">
        <v>29</v>
      </c>
      <c r="B31" s="10">
        <v>1990</v>
      </c>
      <c r="C31" s="10">
        <v>1991</v>
      </c>
      <c r="D31" s="10">
        <v>1992</v>
      </c>
      <c r="E31" s="10">
        <v>1993</v>
      </c>
      <c r="F31" s="10">
        <v>1994</v>
      </c>
      <c r="G31" s="10">
        <v>1995</v>
      </c>
      <c r="H31" s="10">
        <v>1996</v>
      </c>
      <c r="I31" s="10">
        <v>1997</v>
      </c>
      <c r="J31" s="10">
        <v>1998</v>
      </c>
      <c r="K31" s="10">
        <v>1999</v>
      </c>
      <c r="L31" s="10">
        <v>2000</v>
      </c>
      <c r="M31" s="10">
        <v>2001</v>
      </c>
      <c r="N31" s="10">
        <v>2002</v>
      </c>
      <c r="O31" s="10">
        <v>2003</v>
      </c>
      <c r="P31" s="10">
        <v>2004</v>
      </c>
      <c r="Q31" s="10">
        <v>2005</v>
      </c>
      <c r="R31" s="10">
        <v>2006</v>
      </c>
      <c r="S31" s="10">
        <v>2007</v>
      </c>
      <c r="T31" s="10">
        <v>2008</v>
      </c>
      <c r="U31" s="10">
        <v>2009</v>
      </c>
      <c r="V31" s="10">
        <v>2010</v>
      </c>
      <c r="W31" s="10">
        <v>2011</v>
      </c>
      <c r="X31" s="10">
        <v>2012</v>
      </c>
      <c r="Y31" s="10">
        <v>2013</v>
      </c>
      <c r="Z31" s="10">
        <v>2014</v>
      </c>
      <c r="AA31" s="10">
        <v>2015</v>
      </c>
      <c r="AB31" s="10">
        <v>2016</v>
      </c>
      <c r="AC31" s="10">
        <v>2017</v>
      </c>
      <c r="AD31" s="10">
        <v>2018</v>
      </c>
      <c r="AE31" s="10">
        <v>2019</v>
      </c>
    </row>
    <row r="32" spans="1:31" ht="13">
      <c r="A32" s="9" t="s">
        <v>0</v>
      </c>
      <c r="B32" s="11">
        <f>5*SUM(B8:B14)</f>
        <v>3.6626797500000001</v>
      </c>
      <c r="C32" s="11">
        <f t="shared" ref="C32:AE32" si="1">5*SUM(C8:C14)</f>
        <v>3.5791516999999997</v>
      </c>
      <c r="D32" s="11">
        <f t="shared" si="1"/>
        <v>3.4848344500000006</v>
      </c>
      <c r="E32" s="11">
        <f t="shared" si="1"/>
        <v>3.38017805</v>
      </c>
      <c r="F32" s="11">
        <f t="shared" si="1"/>
        <v>3.2714480500000005</v>
      </c>
      <c r="G32" s="11">
        <f t="shared" si="1"/>
        <v>3.1645916999999999</v>
      </c>
      <c r="H32" s="11">
        <f t="shared" si="1"/>
        <v>3.0648070499999998</v>
      </c>
      <c r="I32" s="11">
        <f t="shared" si="1"/>
        <v>2.9862054999999996</v>
      </c>
      <c r="J32" s="11">
        <f t="shared" si="1"/>
        <v>2.9350868500000011</v>
      </c>
      <c r="K32" s="11">
        <f t="shared" si="1"/>
        <v>2.9008273499999997</v>
      </c>
      <c r="L32" s="11">
        <f t="shared" si="1"/>
        <v>2.8531692000000004</v>
      </c>
      <c r="M32" s="11">
        <f t="shared" si="1"/>
        <v>2.7874788500000003</v>
      </c>
      <c r="N32" s="11">
        <f t="shared" si="1"/>
        <v>2.7126374499999999</v>
      </c>
      <c r="O32" s="11">
        <f t="shared" si="1"/>
        <v>2.6462943500000002</v>
      </c>
      <c r="P32" s="11">
        <f t="shared" si="1"/>
        <v>2.5940224000000001</v>
      </c>
      <c r="Q32" s="11">
        <f t="shared" si="1"/>
        <v>2.5516900499999999</v>
      </c>
      <c r="R32" s="11">
        <f t="shared" si="1"/>
        <v>2.5166706999999997</v>
      </c>
      <c r="S32" s="11">
        <f t="shared" si="1"/>
        <v>2.4863510500000006</v>
      </c>
      <c r="T32" s="11">
        <f t="shared" si="1"/>
        <v>2.4556469500000002</v>
      </c>
      <c r="U32" s="11">
        <f t="shared" si="1"/>
        <v>2.4188901499999997</v>
      </c>
      <c r="V32" s="11">
        <f t="shared" si="1"/>
        <v>2.3705194000000001</v>
      </c>
      <c r="W32" s="11">
        <f t="shared" si="1"/>
        <v>2.3150697999999998</v>
      </c>
      <c r="X32" s="11">
        <f t="shared" si="1"/>
        <v>2.2586536499999994</v>
      </c>
      <c r="Y32" s="11">
        <f t="shared" si="1"/>
        <v>2.2153562999999998</v>
      </c>
      <c r="Z32" s="11">
        <f t="shared" si="1"/>
        <v>2.1778705999999999</v>
      </c>
      <c r="AA32" s="11">
        <f t="shared" si="1"/>
        <v>2.1358990499999999</v>
      </c>
      <c r="AB32" s="11">
        <f t="shared" si="1"/>
        <v>2.08067395</v>
      </c>
      <c r="AC32" s="11">
        <f t="shared" si="1"/>
        <v>2.0401937500000003</v>
      </c>
      <c r="AD32" s="11">
        <f t="shared" si="1"/>
        <v>2.0289328000000002</v>
      </c>
      <c r="AE32" s="11">
        <f t="shared" si="1"/>
        <v>2.0177295000000002</v>
      </c>
    </row>
    <row r="33" spans="1:31" ht="13">
      <c r="A33" s="9" t="s">
        <v>30</v>
      </c>
      <c r="B33" s="11">
        <f>AVERAGE(B32:AE32)</f>
        <v>2.6697853466666674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ht="13">
      <c r="A34" s="9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s="6" customFormat="1">
      <c r="A35" s="5" t="s">
        <v>4</v>
      </c>
    </row>
    <row r="36" spans="1:31">
      <c r="A36" s="1" t="s">
        <v>31</v>
      </c>
    </row>
    <row r="38" spans="1:31" ht="13">
      <c r="A38" s="9" t="s">
        <v>23</v>
      </c>
      <c r="B38" s="10">
        <v>1990</v>
      </c>
      <c r="C38" s="10">
        <v>1991</v>
      </c>
      <c r="D38" s="10">
        <v>1992</v>
      </c>
      <c r="E38" s="10">
        <v>1993</v>
      </c>
      <c r="F38" s="10">
        <v>1994</v>
      </c>
      <c r="G38" s="10">
        <v>1995</v>
      </c>
      <c r="H38" s="10">
        <v>1996</v>
      </c>
      <c r="I38" s="10">
        <v>1997</v>
      </c>
      <c r="J38" s="10">
        <v>1998</v>
      </c>
      <c r="K38" s="10">
        <v>1999</v>
      </c>
      <c r="L38" s="10">
        <v>2000</v>
      </c>
      <c r="M38" s="10">
        <v>2001</v>
      </c>
      <c r="N38" s="10">
        <v>2002</v>
      </c>
      <c r="O38" s="10">
        <v>2003</v>
      </c>
      <c r="P38" s="10">
        <v>2004</v>
      </c>
      <c r="Q38" s="10">
        <v>2005</v>
      </c>
      <c r="R38" s="10">
        <v>2006</v>
      </c>
      <c r="S38" s="10">
        <v>2007</v>
      </c>
      <c r="T38" s="10">
        <v>2008</v>
      </c>
      <c r="U38" s="10">
        <v>2009</v>
      </c>
      <c r="V38" s="10">
        <v>2010</v>
      </c>
      <c r="W38" s="10">
        <v>2011</v>
      </c>
      <c r="X38" s="10">
        <v>2012</v>
      </c>
      <c r="Y38" s="10">
        <v>2013</v>
      </c>
      <c r="Z38" s="10">
        <v>2014</v>
      </c>
      <c r="AA38" s="10">
        <v>2015</v>
      </c>
      <c r="AB38" s="10">
        <v>2016</v>
      </c>
      <c r="AC38" s="10">
        <v>2017</v>
      </c>
      <c r="AD38" s="10">
        <v>2018</v>
      </c>
      <c r="AE38" s="10">
        <v>2019</v>
      </c>
    </row>
    <row r="39" spans="1:31" ht="13">
      <c r="A39" s="9" t="s">
        <v>16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ht="13">
      <c r="A40" s="9" t="s">
        <v>17</v>
      </c>
      <c r="B40" s="11">
        <f>5*B8</f>
        <v>0.45116580000000006</v>
      </c>
      <c r="C40" s="11">
        <f t="shared" ref="C40:AE40" si="2">5*C8</f>
        <v>0.44897120000000001</v>
      </c>
      <c r="D40" s="11">
        <f t="shared" si="2"/>
        <v>0.44660690000000003</v>
      </c>
      <c r="E40" s="11">
        <f t="shared" si="2"/>
        <v>0.44296410000000003</v>
      </c>
      <c r="F40" s="11">
        <f t="shared" si="2"/>
        <v>0.4383454</v>
      </c>
      <c r="G40" s="11">
        <f t="shared" si="2"/>
        <v>0.43388105000000005</v>
      </c>
      <c r="H40" s="11">
        <f t="shared" si="2"/>
        <v>0.43048959999999997</v>
      </c>
      <c r="I40" s="11">
        <f t="shared" si="2"/>
        <v>0.42781960000000002</v>
      </c>
      <c r="J40" s="11">
        <f t="shared" si="2"/>
        <v>0.42492465000000001</v>
      </c>
      <c r="K40" s="11">
        <f t="shared" si="2"/>
        <v>0.42139945000000001</v>
      </c>
      <c r="L40" s="11">
        <f t="shared" si="2"/>
        <v>0.41746840000000002</v>
      </c>
      <c r="M40" s="11">
        <f t="shared" si="2"/>
        <v>0.41308919999999999</v>
      </c>
      <c r="N40" s="11">
        <f t="shared" si="2"/>
        <v>0.40826195000000004</v>
      </c>
      <c r="O40" s="11">
        <f t="shared" si="2"/>
        <v>0.40287839999999997</v>
      </c>
      <c r="P40" s="11">
        <f t="shared" si="2"/>
        <v>0.39758065000000004</v>
      </c>
      <c r="Q40" s="11">
        <f t="shared" si="2"/>
        <v>0.39333604999999999</v>
      </c>
      <c r="R40" s="11">
        <f t="shared" si="2"/>
        <v>0.39096850000000005</v>
      </c>
      <c r="S40" s="11">
        <f t="shared" si="2"/>
        <v>0.39057845000000002</v>
      </c>
      <c r="T40" s="11">
        <f t="shared" si="2"/>
        <v>0.39160729999999999</v>
      </c>
      <c r="U40" s="11">
        <f t="shared" si="2"/>
        <v>0.39267294999999991</v>
      </c>
      <c r="V40" s="11">
        <f t="shared" si="2"/>
        <v>0.39256430000000003</v>
      </c>
      <c r="W40" s="11">
        <f t="shared" si="2"/>
        <v>0.39059215000000003</v>
      </c>
      <c r="X40" s="11">
        <f t="shared" si="2"/>
        <v>0.38658959999999998</v>
      </c>
      <c r="Y40" s="11">
        <f t="shared" si="2"/>
        <v>0.38066099999999997</v>
      </c>
      <c r="Z40" s="11">
        <f t="shared" si="2"/>
        <v>0.37247990000000003</v>
      </c>
      <c r="AA40" s="11">
        <f t="shared" si="2"/>
        <v>0.36190834999999999</v>
      </c>
      <c r="AB40" s="11">
        <f t="shared" si="2"/>
        <v>0.34922920000000002</v>
      </c>
      <c r="AC40" s="11">
        <f t="shared" si="2"/>
        <v>0.33984265000000002</v>
      </c>
      <c r="AD40" s="11">
        <f t="shared" si="2"/>
        <v>0.33387365000000002</v>
      </c>
      <c r="AE40" s="11">
        <f t="shared" si="2"/>
        <v>0.32553844999999998</v>
      </c>
    </row>
    <row r="41" spans="1:31" ht="13">
      <c r="A41" s="9" t="s">
        <v>18</v>
      </c>
      <c r="B41" s="11">
        <f>5*B9+B40</f>
        <v>1.4138005000000002</v>
      </c>
      <c r="C41" s="11">
        <f t="shared" ref="C41:AE45" si="3">5*C9+C40</f>
        <v>1.39506745</v>
      </c>
      <c r="D41" s="11">
        <f t="shared" si="3"/>
        <v>1.3711107500000002</v>
      </c>
      <c r="E41" s="11">
        <f t="shared" si="3"/>
        <v>1.3443830000000001</v>
      </c>
      <c r="F41" s="11">
        <f t="shared" si="3"/>
        <v>1.3160588</v>
      </c>
      <c r="G41" s="11">
        <f t="shared" si="3"/>
        <v>1.2864827999999999</v>
      </c>
      <c r="H41" s="11">
        <f t="shared" si="3"/>
        <v>1.2599670999999999</v>
      </c>
      <c r="I41" s="11">
        <f t="shared" si="3"/>
        <v>1.2406333</v>
      </c>
      <c r="J41" s="11">
        <f t="shared" si="3"/>
        <v>1.2311192499999999</v>
      </c>
      <c r="K41" s="11">
        <f t="shared" si="3"/>
        <v>1.2256168000000001</v>
      </c>
      <c r="L41" s="11">
        <f t="shared" si="3"/>
        <v>1.2142504999999999</v>
      </c>
      <c r="M41" s="11">
        <f t="shared" si="3"/>
        <v>1.19469425</v>
      </c>
      <c r="N41" s="11">
        <f t="shared" si="3"/>
        <v>1.1709163</v>
      </c>
      <c r="O41" s="11">
        <f t="shared" si="3"/>
        <v>1.1460211999999999</v>
      </c>
      <c r="P41" s="11">
        <f t="shared" si="3"/>
        <v>1.1251250500000001</v>
      </c>
      <c r="Q41" s="11">
        <f t="shared" si="3"/>
        <v>1.10852795</v>
      </c>
      <c r="R41" s="11">
        <f t="shared" si="3"/>
        <v>1.098552</v>
      </c>
      <c r="S41" s="11">
        <f t="shared" si="3"/>
        <v>1.09447395</v>
      </c>
      <c r="T41" s="11">
        <f t="shared" si="3"/>
        <v>1.0928901999999998</v>
      </c>
      <c r="U41" s="11">
        <f t="shared" si="3"/>
        <v>1.0895938999999999</v>
      </c>
      <c r="V41" s="11">
        <f t="shared" si="3"/>
        <v>1.0806067000000001</v>
      </c>
      <c r="W41" s="11">
        <f t="shared" si="3"/>
        <v>1.0639891000000001</v>
      </c>
      <c r="X41" s="11">
        <f t="shared" si="3"/>
        <v>1.0430306499999999</v>
      </c>
      <c r="Y41" s="11">
        <f t="shared" si="3"/>
        <v>1.0229264999999998</v>
      </c>
      <c r="Z41" s="11">
        <f t="shared" si="3"/>
        <v>1.00239875</v>
      </c>
      <c r="AA41" s="11">
        <f t="shared" si="3"/>
        <v>0.97589039999999994</v>
      </c>
      <c r="AB41" s="11">
        <f t="shared" si="3"/>
        <v>0.9410018</v>
      </c>
      <c r="AC41" s="11">
        <f t="shared" si="3"/>
        <v>0.91141460000000007</v>
      </c>
      <c r="AD41" s="11">
        <f t="shared" si="3"/>
        <v>0.89260300000000004</v>
      </c>
      <c r="AE41" s="11">
        <f t="shared" si="3"/>
        <v>0.87144365000000001</v>
      </c>
    </row>
    <row r="42" spans="1:31" ht="13">
      <c r="A42" s="9" t="s">
        <v>19</v>
      </c>
      <c r="B42" s="11">
        <f t="shared" ref="B42:B45" si="4">5*B10+B41</f>
        <v>2.3531208000000001</v>
      </c>
      <c r="C42" s="11">
        <f t="shared" si="3"/>
        <v>2.3131240000000002</v>
      </c>
      <c r="D42" s="11">
        <f t="shared" si="3"/>
        <v>2.2632849500000001</v>
      </c>
      <c r="E42" s="11">
        <f t="shared" si="3"/>
        <v>2.20893965</v>
      </c>
      <c r="F42" s="11">
        <f t="shared" si="3"/>
        <v>2.1547476999999997</v>
      </c>
      <c r="G42" s="11">
        <f t="shared" si="3"/>
        <v>2.0981823999999998</v>
      </c>
      <c r="H42" s="11">
        <f t="shared" si="3"/>
        <v>2.0464503999999999</v>
      </c>
      <c r="I42" s="11">
        <f t="shared" si="3"/>
        <v>2.0055987499999999</v>
      </c>
      <c r="J42" s="11">
        <f t="shared" si="3"/>
        <v>1.9813005499999998</v>
      </c>
      <c r="K42" s="11">
        <f t="shared" si="3"/>
        <v>1.9695405500000001</v>
      </c>
      <c r="L42" s="11">
        <f t="shared" si="3"/>
        <v>1.9480986499999999</v>
      </c>
      <c r="M42" s="11">
        <f t="shared" si="3"/>
        <v>1.9125977999999999</v>
      </c>
      <c r="N42" s="11">
        <f t="shared" si="3"/>
        <v>1.86719535</v>
      </c>
      <c r="O42" s="11">
        <f t="shared" si="3"/>
        <v>1.8236769499999999</v>
      </c>
      <c r="P42" s="11">
        <f t="shared" si="3"/>
        <v>1.7896008000000001</v>
      </c>
      <c r="Q42" s="11">
        <f t="shared" si="3"/>
        <v>1.7638286000000001</v>
      </c>
      <c r="R42" s="11">
        <f t="shared" si="3"/>
        <v>1.7454774500000001</v>
      </c>
      <c r="S42" s="11">
        <f t="shared" si="3"/>
        <v>1.7318352000000001</v>
      </c>
      <c r="T42" s="11">
        <f t="shared" si="3"/>
        <v>1.7196145499999997</v>
      </c>
      <c r="U42" s="11">
        <f t="shared" si="3"/>
        <v>1.7042883499999999</v>
      </c>
      <c r="V42" s="11">
        <f t="shared" si="3"/>
        <v>1.6801472000000002</v>
      </c>
      <c r="W42" s="11">
        <f t="shared" si="3"/>
        <v>1.6470799</v>
      </c>
      <c r="X42" s="11">
        <f t="shared" si="3"/>
        <v>1.6091887</v>
      </c>
      <c r="Y42" s="11">
        <f t="shared" si="3"/>
        <v>1.5770795499999999</v>
      </c>
      <c r="Z42" s="11">
        <f t="shared" si="3"/>
        <v>1.549291</v>
      </c>
      <c r="AA42" s="11">
        <f t="shared" si="3"/>
        <v>1.5163144499999999</v>
      </c>
      <c r="AB42" s="11">
        <f t="shared" si="3"/>
        <v>1.4725880500000001</v>
      </c>
      <c r="AC42" s="11">
        <f t="shared" si="3"/>
        <v>1.4354127500000002</v>
      </c>
      <c r="AD42" s="11">
        <f t="shared" si="3"/>
        <v>1.4143161500000001</v>
      </c>
      <c r="AE42" s="11">
        <f t="shared" si="3"/>
        <v>1.3882280499999999</v>
      </c>
    </row>
    <row r="43" spans="1:31" ht="13">
      <c r="A43" s="9" t="s">
        <v>20</v>
      </c>
      <c r="B43" s="11">
        <f t="shared" si="4"/>
        <v>3.0519660000000002</v>
      </c>
      <c r="C43" s="11">
        <f t="shared" si="3"/>
        <v>2.9937590500000004</v>
      </c>
      <c r="D43" s="11">
        <f t="shared" si="3"/>
        <v>2.9255613</v>
      </c>
      <c r="E43" s="11">
        <f t="shared" si="3"/>
        <v>2.8495286499999999</v>
      </c>
      <c r="F43" s="11">
        <f t="shared" si="3"/>
        <v>2.7692995999999996</v>
      </c>
      <c r="G43" s="11">
        <f t="shared" si="3"/>
        <v>2.6870970999999999</v>
      </c>
      <c r="H43" s="11">
        <f t="shared" si="3"/>
        <v>2.6085323999999996</v>
      </c>
      <c r="I43" s="11">
        <f t="shared" si="3"/>
        <v>2.5483108999999997</v>
      </c>
      <c r="J43" s="11">
        <f t="shared" si="3"/>
        <v>2.5132851499999997</v>
      </c>
      <c r="K43" s="11">
        <f t="shared" si="3"/>
        <v>2.4960461500000002</v>
      </c>
      <c r="L43" s="11">
        <f t="shared" si="3"/>
        <v>2.4662676000000001</v>
      </c>
      <c r="M43" s="11">
        <f t="shared" si="3"/>
        <v>2.4187954</v>
      </c>
      <c r="N43" s="11">
        <f t="shared" si="3"/>
        <v>2.3611083499999999</v>
      </c>
      <c r="O43" s="11">
        <f t="shared" si="3"/>
        <v>2.3085708499999997</v>
      </c>
      <c r="P43" s="11">
        <f t="shared" si="3"/>
        <v>2.2678468000000001</v>
      </c>
      <c r="Q43" s="11">
        <f t="shared" si="3"/>
        <v>2.23432795</v>
      </c>
      <c r="R43" s="11">
        <f t="shared" si="3"/>
        <v>2.2070617500000003</v>
      </c>
      <c r="S43" s="11">
        <f t="shared" si="3"/>
        <v>2.18390065</v>
      </c>
      <c r="T43" s="11">
        <f t="shared" si="3"/>
        <v>2.1621593999999997</v>
      </c>
      <c r="U43" s="11">
        <f t="shared" si="3"/>
        <v>2.1361512999999999</v>
      </c>
      <c r="V43" s="11">
        <f t="shared" si="3"/>
        <v>2.09903145</v>
      </c>
      <c r="W43" s="11">
        <f t="shared" si="3"/>
        <v>2.05336805</v>
      </c>
      <c r="X43" s="11">
        <f t="shared" si="3"/>
        <v>2.0041163499999999</v>
      </c>
      <c r="Y43" s="11">
        <f t="shared" si="3"/>
        <v>1.96529475</v>
      </c>
      <c r="Z43" s="11">
        <f t="shared" si="3"/>
        <v>1.93230945</v>
      </c>
      <c r="AA43" s="11">
        <f t="shared" si="3"/>
        <v>1.8952239499999999</v>
      </c>
      <c r="AB43" s="11">
        <f t="shared" si="3"/>
        <v>1.8445973500000001</v>
      </c>
      <c r="AC43" s="11">
        <f t="shared" si="3"/>
        <v>1.8035872000000002</v>
      </c>
      <c r="AD43" s="11">
        <f t="shared" si="3"/>
        <v>1.7845412500000002</v>
      </c>
      <c r="AE43" s="11">
        <f t="shared" si="3"/>
        <v>1.7612095999999999</v>
      </c>
    </row>
    <row r="44" spans="1:31" ht="13">
      <c r="A44" s="9" t="s">
        <v>21</v>
      </c>
      <c r="B44" s="11">
        <f t="shared" si="4"/>
        <v>3.4774547</v>
      </c>
      <c r="C44" s="11">
        <f t="shared" si="3"/>
        <v>3.4017041000000003</v>
      </c>
      <c r="D44" s="11">
        <f t="shared" si="3"/>
        <v>3.3145421499999999</v>
      </c>
      <c r="E44" s="11">
        <f t="shared" si="3"/>
        <v>3.2171431500000001</v>
      </c>
      <c r="F44" s="11">
        <f t="shared" si="3"/>
        <v>3.1163586499999996</v>
      </c>
      <c r="G44" s="11">
        <f t="shared" si="3"/>
        <v>3.0178847499999999</v>
      </c>
      <c r="H44" s="11">
        <f t="shared" si="3"/>
        <v>2.9264133999999995</v>
      </c>
      <c r="I44" s="11">
        <f t="shared" si="3"/>
        <v>2.8557561999999996</v>
      </c>
      <c r="J44" s="11">
        <f t="shared" si="3"/>
        <v>2.8124076499999999</v>
      </c>
      <c r="K44" s="11">
        <f t="shared" si="3"/>
        <v>2.7858896</v>
      </c>
      <c r="L44" s="11">
        <f t="shared" si="3"/>
        <v>2.7454352000000002</v>
      </c>
      <c r="M44" s="11">
        <f t="shared" si="3"/>
        <v>2.6859229500000001</v>
      </c>
      <c r="N44" s="11">
        <f t="shared" si="3"/>
        <v>2.6163495999999999</v>
      </c>
      <c r="O44" s="11">
        <f t="shared" si="3"/>
        <v>2.5550902499999997</v>
      </c>
      <c r="P44" s="11">
        <f t="shared" si="3"/>
        <v>2.5078898500000002</v>
      </c>
      <c r="Q44" s="11">
        <f t="shared" si="3"/>
        <v>2.4702204000000001</v>
      </c>
      <c r="R44" s="11">
        <f t="shared" si="3"/>
        <v>2.4393808000000003</v>
      </c>
      <c r="S44" s="11">
        <f t="shared" si="3"/>
        <v>2.4129453999999999</v>
      </c>
      <c r="T44" s="11">
        <f t="shared" si="3"/>
        <v>2.3859795499999996</v>
      </c>
      <c r="U44" s="11">
        <f t="shared" si="3"/>
        <v>2.3528379999999998</v>
      </c>
      <c r="V44" s="11">
        <f t="shared" si="3"/>
        <v>2.3075947999999999</v>
      </c>
      <c r="W44" s="11">
        <f t="shared" si="3"/>
        <v>2.2545923000000001</v>
      </c>
      <c r="X44" s="11">
        <f t="shared" si="3"/>
        <v>2.2002628</v>
      </c>
      <c r="Y44" s="11">
        <f t="shared" si="3"/>
        <v>2.1589174</v>
      </c>
      <c r="Z44" s="11">
        <f t="shared" si="3"/>
        <v>2.1231345500000001</v>
      </c>
      <c r="AA44" s="11">
        <f t="shared" si="3"/>
        <v>2.0823612499999999</v>
      </c>
      <c r="AB44" s="11">
        <f t="shared" si="3"/>
        <v>2.0279596</v>
      </c>
      <c r="AC44" s="11">
        <f t="shared" si="3"/>
        <v>1.9873156000000001</v>
      </c>
      <c r="AD44" s="11">
        <f t="shared" si="3"/>
        <v>1.9746180500000001</v>
      </c>
      <c r="AE44" s="11">
        <f t="shared" si="3"/>
        <v>1.9602986499999999</v>
      </c>
    </row>
    <row r="45" spans="1:31" ht="13">
      <c r="A45" s="9" t="s">
        <v>22</v>
      </c>
      <c r="B45" s="11">
        <f t="shared" si="4"/>
        <v>3.6295182000000001</v>
      </c>
      <c r="C45" s="11">
        <f t="shared" si="3"/>
        <v>3.5480886500000004</v>
      </c>
      <c r="D45" s="11">
        <f t="shared" si="3"/>
        <v>3.4556887999999999</v>
      </c>
      <c r="E45" s="11">
        <f t="shared" si="3"/>
        <v>3.35290825</v>
      </c>
      <c r="F45" s="11">
        <f t="shared" si="3"/>
        <v>3.2460549499999996</v>
      </c>
      <c r="G45" s="11">
        <f t="shared" si="3"/>
        <v>3.1409842499999998</v>
      </c>
      <c r="H45" s="11">
        <f t="shared" si="3"/>
        <v>3.0428906499999995</v>
      </c>
      <c r="I45" s="11">
        <f t="shared" si="3"/>
        <v>2.9659374499999998</v>
      </c>
      <c r="J45" s="11">
        <f t="shared" si="3"/>
        <v>2.9165068499999998</v>
      </c>
      <c r="K45" s="11">
        <f t="shared" si="3"/>
        <v>2.88397345</v>
      </c>
      <c r="L45" s="11">
        <f t="shared" si="3"/>
        <v>2.8379319000000001</v>
      </c>
      <c r="M45" s="11">
        <f t="shared" si="3"/>
        <v>2.7736013500000003</v>
      </c>
      <c r="N45" s="11">
        <f t="shared" si="3"/>
        <v>2.6999371999999999</v>
      </c>
      <c r="O45" s="11">
        <f t="shared" si="3"/>
        <v>2.6347086999999996</v>
      </c>
      <c r="P45" s="11">
        <f t="shared" si="3"/>
        <v>2.5834414000000003</v>
      </c>
      <c r="Q45" s="11">
        <f t="shared" si="3"/>
        <v>2.5418667500000001</v>
      </c>
      <c r="R45" s="11">
        <f t="shared" si="3"/>
        <v>2.5074245500000005</v>
      </c>
      <c r="S45" s="11">
        <f t="shared" si="3"/>
        <v>2.4776853000000001</v>
      </c>
      <c r="T45" s="11">
        <f t="shared" si="3"/>
        <v>2.4476629499999998</v>
      </c>
      <c r="U45" s="11">
        <f t="shared" si="3"/>
        <v>2.4116742999999996</v>
      </c>
      <c r="V45" s="11">
        <f t="shared" si="3"/>
        <v>2.3640273999999999</v>
      </c>
      <c r="W45" s="11">
        <f t="shared" si="3"/>
        <v>2.3091767999999999</v>
      </c>
      <c r="X45" s="11">
        <f t="shared" si="3"/>
        <v>2.2533196499999999</v>
      </c>
      <c r="Y45" s="11">
        <f t="shared" si="3"/>
        <v>2.2105814499999998</v>
      </c>
      <c r="Z45" s="11">
        <f t="shared" si="3"/>
        <v>2.1735549500000002</v>
      </c>
      <c r="AA45" s="11">
        <f t="shared" si="3"/>
        <v>2.1318161</v>
      </c>
      <c r="AB45" s="11">
        <f t="shared" si="3"/>
        <v>2.0766342500000001</v>
      </c>
      <c r="AC45" s="11">
        <f t="shared" si="3"/>
        <v>2.0360670500000002</v>
      </c>
      <c r="AD45" s="11">
        <f t="shared" si="3"/>
        <v>2.0245405500000002</v>
      </c>
      <c r="AE45" s="11">
        <f t="shared" si="3"/>
        <v>2.0126362499999999</v>
      </c>
    </row>
    <row r="46" spans="1:31" s="12" customFormat="1" ht="13">
      <c r="A46" s="12" t="s">
        <v>0</v>
      </c>
      <c r="B46" s="13">
        <f>B32</f>
        <v>3.6626797500000001</v>
      </c>
      <c r="C46" s="13">
        <f t="shared" ref="C46:AE46" si="5">C32</f>
        <v>3.5791516999999997</v>
      </c>
      <c r="D46" s="13">
        <f t="shared" si="5"/>
        <v>3.4848344500000006</v>
      </c>
      <c r="E46" s="13">
        <f t="shared" si="5"/>
        <v>3.38017805</v>
      </c>
      <c r="F46" s="13">
        <f t="shared" si="5"/>
        <v>3.2714480500000005</v>
      </c>
      <c r="G46" s="13">
        <f t="shared" si="5"/>
        <v>3.1645916999999999</v>
      </c>
      <c r="H46" s="13">
        <f t="shared" si="5"/>
        <v>3.0648070499999998</v>
      </c>
      <c r="I46" s="13">
        <f t="shared" si="5"/>
        <v>2.9862054999999996</v>
      </c>
      <c r="J46" s="13">
        <f t="shared" si="5"/>
        <v>2.9350868500000011</v>
      </c>
      <c r="K46" s="13">
        <f t="shared" si="5"/>
        <v>2.9008273499999997</v>
      </c>
      <c r="L46" s="13">
        <f t="shared" si="5"/>
        <v>2.8531692000000004</v>
      </c>
      <c r="M46" s="13">
        <f t="shared" si="5"/>
        <v>2.7874788500000003</v>
      </c>
      <c r="N46" s="13">
        <f t="shared" si="5"/>
        <v>2.7126374499999999</v>
      </c>
      <c r="O46" s="13">
        <f t="shared" si="5"/>
        <v>2.6462943500000002</v>
      </c>
      <c r="P46" s="13">
        <f t="shared" si="5"/>
        <v>2.5940224000000001</v>
      </c>
      <c r="Q46" s="13">
        <f t="shared" si="5"/>
        <v>2.5516900499999999</v>
      </c>
      <c r="R46" s="13">
        <f t="shared" si="5"/>
        <v>2.5166706999999997</v>
      </c>
      <c r="S46" s="13">
        <f t="shared" si="5"/>
        <v>2.4863510500000006</v>
      </c>
      <c r="T46" s="13">
        <f t="shared" si="5"/>
        <v>2.4556469500000002</v>
      </c>
      <c r="U46" s="13">
        <f t="shared" si="5"/>
        <v>2.4188901499999997</v>
      </c>
      <c r="V46" s="13">
        <f t="shared" si="5"/>
        <v>2.3705194000000001</v>
      </c>
      <c r="W46" s="13">
        <f t="shared" si="5"/>
        <v>2.3150697999999998</v>
      </c>
      <c r="X46" s="13">
        <f t="shared" si="5"/>
        <v>2.2586536499999994</v>
      </c>
      <c r="Y46" s="13">
        <f t="shared" si="5"/>
        <v>2.2153562999999998</v>
      </c>
      <c r="Z46" s="13">
        <f t="shared" si="5"/>
        <v>2.1778705999999999</v>
      </c>
      <c r="AA46" s="13">
        <f t="shared" si="5"/>
        <v>2.1358990499999999</v>
      </c>
      <c r="AB46" s="13">
        <f t="shared" si="5"/>
        <v>2.08067395</v>
      </c>
      <c r="AC46" s="13">
        <f t="shared" si="5"/>
        <v>2.0401937500000003</v>
      </c>
      <c r="AD46" s="13">
        <f t="shared" si="5"/>
        <v>2.0289328000000002</v>
      </c>
      <c r="AE46" s="13">
        <f t="shared" si="5"/>
        <v>2.0177295000000002</v>
      </c>
    </row>
    <row r="48" spans="1:31" s="6" customFormat="1">
      <c r="A48" s="5"/>
    </row>
    <row r="49" spans="1:31">
      <c r="A49" s="1" t="s">
        <v>32</v>
      </c>
    </row>
    <row r="51" spans="1:31" ht="13">
      <c r="A51" s="9" t="s">
        <v>23</v>
      </c>
      <c r="B51" s="10">
        <v>1990</v>
      </c>
      <c r="C51" s="10">
        <v>1991</v>
      </c>
      <c r="D51" s="10">
        <v>1992</v>
      </c>
      <c r="E51" s="10">
        <v>1993</v>
      </c>
      <c r="F51" s="10">
        <v>1994</v>
      </c>
      <c r="G51" s="10">
        <v>1995</v>
      </c>
      <c r="H51" s="10">
        <v>1996</v>
      </c>
      <c r="I51" s="10">
        <v>1997</v>
      </c>
      <c r="J51" s="10">
        <v>1998</v>
      </c>
      <c r="K51" s="10">
        <v>1999</v>
      </c>
      <c r="L51" s="10">
        <v>2000</v>
      </c>
      <c r="M51" s="10">
        <v>2001</v>
      </c>
      <c r="N51" s="10">
        <v>2002</v>
      </c>
      <c r="O51" s="10">
        <v>2003</v>
      </c>
      <c r="P51" s="10">
        <v>2004</v>
      </c>
      <c r="Q51" s="10">
        <v>2005</v>
      </c>
      <c r="R51" s="10">
        <v>2006</v>
      </c>
      <c r="S51" s="10">
        <v>2007</v>
      </c>
      <c r="T51" s="10">
        <v>2008</v>
      </c>
      <c r="U51" s="10">
        <v>2009</v>
      </c>
      <c r="V51" s="10">
        <v>2010</v>
      </c>
      <c r="W51" s="10">
        <v>2011</v>
      </c>
      <c r="X51" s="10">
        <v>2012</v>
      </c>
      <c r="Y51" s="10">
        <v>2013</v>
      </c>
      <c r="Z51" s="10">
        <v>2014</v>
      </c>
      <c r="AA51" s="10">
        <v>2015</v>
      </c>
      <c r="AB51" s="10">
        <v>2016</v>
      </c>
      <c r="AC51" s="10">
        <v>2017</v>
      </c>
      <c r="AD51" s="10">
        <v>2018</v>
      </c>
      <c r="AE51" s="10">
        <v>2019</v>
      </c>
    </row>
    <row r="52" spans="1:31" ht="13">
      <c r="A52" s="9" t="s">
        <v>16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13">
      <c r="A53" s="9" t="s">
        <v>17</v>
      </c>
      <c r="B53" s="11">
        <f>B40/B$46</f>
        <v>0.12317915591719425</v>
      </c>
      <c r="C53" s="11">
        <f t="shared" ref="C53:AE58" si="6">C40/C$46</f>
        <v>0.12544067355401561</v>
      </c>
      <c r="D53" s="11">
        <f t="shared" si="6"/>
        <v>0.12815727874820565</v>
      </c>
      <c r="E53" s="11">
        <f t="shared" si="6"/>
        <v>0.13104756419561983</v>
      </c>
      <c r="F53" s="11">
        <f t="shared" si="6"/>
        <v>0.13399124586435049</v>
      </c>
      <c r="G53" s="11">
        <f t="shared" si="6"/>
        <v>0.13710490677201739</v>
      </c>
      <c r="H53" s="11">
        <f t="shared" si="6"/>
        <v>0.14046221931002148</v>
      </c>
      <c r="I53" s="11">
        <f t="shared" si="6"/>
        <v>0.14326529101898716</v>
      </c>
      <c r="J53" s="11">
        <f t="shared" si="6"/>
        <v>0.14477413164111305</v>
      </c>
      <c r="K53" s="11">
        <f t="shared" si="6"/>
        <v>0.14526871101101554</v>
      </c>
      <c r="L53" s="11">
        <f t="shared" si="6"/>
        <v>0.14631743536275379</v>
      </c>
      <c r="M53" s="11">
        <f t="shared" si="6"/>
        <v>0.148194559395491</v>
      </c>
      <c r="N53" s="11">
        <f t="shared" si="6"/>
        <v>0.15050369152722567</v>
      </c>
      <c r="O53" s="11">
        <f t="shared" si="6"/>
        <v>0.15224247446244971</v>
      </c>
      <c r="P53" s="11">
        <f t="shared" si="6"/>
        <v>0.15326800955920813</v>
      </c>
      <c r="Q53" s="11">
        <f t="shared" si="6"/>
        <v>0.1541472680038079</v>
      </c>
      <c r="R53" s="11">
        <f t="shared" si="6"/>
        <v>0.15535147288042098</v>
      </c>
      <c r="S53" s="11">
        <f t="shared" si="6"/>
        <v>0.15708902007220579</v>
      </c>
      <c r="T53" s="11">
        <f t="shared" si="6"/>
        <v>0.15947215050600005</v>
      </c>
      <c r="U53" s="11">
        <f t="shared" si="6"/>
        <v>0.16233599942519092</v>
      </c>
      <c r="V53" s="11">
        <f t="shared" si="6"/>
        <v>0.16560265231324411</v>
      </c>
      <c r="W53" s="11">
        <f t="shared" si="6"/>
        <v>0.16871722399039549</v>
      </c>
      <c r="X53" s="11">
        <f t="shared" si="6"/>
        <v>0.17115930988356717</v>
      </c>
      <c r="Y53" s="11">
        <f t="shared" si="6"/>
        <v>0.1718283420143297</v>
      </c>
      <c r="Z53" s="11">
        <f t="shared" si="6"/>
        <v>0.17102939908367376</v>
      </c>
      <c r="AA53" s="11">
        <f t="shared" si="6"/>
        <v>0.1694407561068956</v>
      </c>
      <c r="AB53" s="11">
        <f t="shared" si="6"/>
        <v>0.16784426988188131</v>
      </c>
      <c r="AC53" s="11">
        <f t="shared" si="6"/>
        <v>0.16657371389359465</v>
      </c>
      <c r="AD53" s="11">
        <f t="shared" si="6"/>
        <v>0.16455628791648497</v>
      </c>
      <c r="AE53" s="11">
        <f t="shared" si="6"/>
        <v>0.16133899514280778</v>
      </c>
    </row>
    <row r="54" spans="1:31" ht="13">
      <c r="A54" s="9" t="s">
        <v>18</v>
      </c>
      <c r="B54" s="11">
        <f t="shared" ref="B54:Q58" si="7">B41/B$46</f>
        <v>0.386001669952171</v>
      </c>
      <c r="C54" s="11">
        <f t="shared" si="7"/>
        <v>0.38977600474436447</v>
      </c>
      <c r="D54" s="11">
        <f t="shared" si="7"/>
        <v>0.39345075631928511</v>
      </c>
      <c r="E54" s="11">
        <f t="shared" si="7"/>
        <v>0.39772549851331057</v>
      </c>
      <c r="F54" s="11">
        <f t="shared" si="7"/>
        <v>0.40228632088472255</v>
      </c>
      <c r="G54" s="11">
        <f t="shared" si="7"/>
        <v>0.40652410230362418</v>
      </c>
      <c r="H54" s="11">
        <f t="shared" si="7"/>
        <v>0.41110813158694609</v>
      </c>
      <c r="I54" s="11">
        <f t="shared" si="7"/>
        <v>0.41545476357872901</v>
      </c>
      <c r="J54" s="11">
        <f t="shared" si="7"/>
        <v>0.41944900199460861</v>
      </c>
      <c r="K54" s="11">
        <f t="shared" si="7"/>
        <v>0.42250594472642439</v>
      </c>
      <c r="L54" s="11">
        <f t="shared" si="7"/>
        <v>0.42557956254399482</v>
      </c>
      <c r="M54" s="11">
        <f t="shared" si="7"/>
        <v>0.42859311739710593</v>
      </c>
      <c r="N54" s="11">
        <f t="shared" si="7"/>
        <v>0.43165233894415195</v>
      </c>
      <c r="O54" s="11">
        <f t="shared" si="7"/>
        <v>0.43306641228327442</v>
      </c>
      <c r="P54" s="11">
        <f t="shared" si="7"/>
        <v>0.43373759995287631</v>
      </c>
      <c r="Q54" s="11">
        <f t="shared" si="7"/>
        <v>0.43442891898253866</v>
      </c>
      <c r="R54" s="11">
        <f t="shared" si="6"/>
        <v>0.436510028904457</v>
      </c>
      <c r="S54" s="11">
        <f t="shared" si="6"/>
        <v>0.44019284806946302</v>
      </c>
      <c r="T54" s="11">
        <f t="shared" si="6"/>
        <v>0.44505184265189252</v>
      </c>
      <c r="U54" s="11">
        <f t="shared" si="6"/>
        <v>0.45045199758244497</v>
      </c>
      <c r="V54" s="11">
        <f t="shared" si="6"/>
        <v>0.45585229127422461</v>
      </c>
      <c r="W54" s="11">
        <f t="shared" si="6"/>
        <v>0.45959266541337118</v>
      </c>
      <c r="X54" s="11">
        <f t="shared" si="6"/>
        <v>0.4617930907644916</v>
      </c>
      <c r="Y54" s="11">
        <f t="shared" si="6"/>
        <v>0.4617435579098495</v>
      </c>
      <c r="Z54" s="11">
        <f t="shared" si="6"/>
        <v>0.46026552266236576</v>
      </c>
      <c r="AA54" s="11">
        <f t="shared" si="6"/>
        <v>0.4568991217070863</v>
      </c>
      <c r="AB54" s="11">
        <f t="shared" si="6"/>
        <v>0.45225817336733609</v>
      </c>
      <c r="AC54" s="11">
        <f t="shared" si="6"/>
        <v>0.44672943439808105</v>
      </c>
      <c r="AD54" s="11">
        <f t="shared" si="6"/>
        <v>0.43993719259701453</v>
      </c>
      <c r="AE54" s="11">
        <f t="shared" si="6"/>
        <v>0.43189319975745011</v>
      </c>
    </row>
    <row r="55" spans="1:31" ht="13">
      <c r="A55" s="9" t="s">
        <v>19</v>
      </c>
      <c r="B55" s="11">
        <f t="shared" si="7"/>
        <v>0.64245878990648853</v>
      </c>
      <c r="C55" s="11">
        <f t="shared" si="6"/>
        <v>0.64627716114966582</v>
      </c>
      <c r="D55" s="11">
        <f t="shared" si="6"/>
        <v>0.64946699261424012</v>
      </c>
      <c r="E55" s="11">
        <f t="shared" si="6"/>
        <v>0.65349801617698811</v>
      </c>
      <c r="F55" s="11">
        <f t="shared" si="6"/>
        <v>0.65865258046815056</v>
      </c>
      <c r="G55" s="11">
        <f t="shared" si="6"/>
        <v>0.66301836031485506</v>
      </c>
      <c r="H55" s="11">
        <f t="shared" si="6"/>
        <v>0.66772568928931431</v>
      </c>
      <c r="I55" s="11">
        <f t="shared" si="6"/>
        <v>0.67162114261727801</v>
      </c>
      <c r="J55" s="11">
        <f t="shared" si="6"/>
        <v>0.67503983740719598</v>
      </c>
      <c r="K55" s="11">
        <f t="shared" si="6"/>
        <v>0.67895821169777659</v>
      </c>
      <c r="L55" s="11">
        <f t="shared" si="6"/>
        <v>0.6827841300123384</v>
      </c>
      <c r="M55" s="11">
        <f t="shared" si="6"/>
        <v>0.68613894595110547</v>
      </c>
      <c r="N55" s="11">
        <f t="shared" si="6"/>
        <v>0.6883320695878471</v>
      </c>
      <c r="O55" s="11">
        <f t="shared" si="6"/>
        <v>0.6891436510076816</v>
      </c>
      <c r="P55" s="11">
        <f t="shared" si="6"/>
        <v>0.68989411964985348</v>
      </c>
      <c r="Q55" s="11">
        <f t="shared" si="6"/>
        <v>0.69123936114419549</v>
      </c>
      <c r="R55" s="11">
        <f t="shared" si="6"/>
        <v>0.69356608713249623</v>
      </c>
      <c r="S55" s="11">
        <f t="shared" si="6"/>
        <v>0.69653687881282889</v>
      </c>
      <c r="T55" s="11">
        <f t="shared" si="6"/>
        <v>0.70026945445068944</v>
      </c>
      <c r="U55" s="11">
        <f t="shared" si="6"/>
        <v>0.70457451323285603</v>
      </c>
      <c r="V55" s="11">
        <f t="shared" si="6"/>
        <v>0.70876753845591822</v>
      </c>
      <c r="W55" s="11">
        <f t="shared" si="6"/>
        <v>0.71146014690356207</v>
      </c>
      <c r="X55" s="11">
        <f t="shared" si="6"/>
        <v>0.71245482900842294</v>
      </c>
      <c r="Y55" s="11">
        <f t="shared" si="6"/>
        <v>0.71188528454768196</v>
      </c>
      <c r="Z55" s="11">
        <f t="shared" si="6"/>
        <v>0.71137881194594388</v>
      </c>
      <c r="AA55" s="11">
        <f t="shared" si="6"/>
        <v>0.70991859376500022</v>
      </c>
      <c r="AB55" s="11">
        <f t="shared" si="6"/>
        <v>0.70774570422242278</v>
      </c>
      <c r="AC55" s="11">
        <f t="shared" si="6"/>
        <v>0.70356687937113815</v>
      </c>
      <c r="AD55" s="11">
        <f t="shared" si="6"/>
        <v>0.69707392477464014</v>
      </c>
      <c r="AE55" s="11">
        <f t="shared" si="6"/>
        <v>0.68801494452056122</v>
      </c>
    </row>
    <row r="56" spans="1:31" ht="13">
      <c r="A56" s="9" t="s">
        <v>20</v>
      </c>
      <c r="B56" s="11">
        <f t="shared" si="7"/>
        <v>0.83326040175912186</v>
      </c>
      <c r="C56" s="11">
        <f t="shared" si="6"/>
        <v>0.83644374447721803</v>
      </c>
      <c r="D56" s="11">
        <f t="shared" si="6"/>
        <v>0.83951227582704813</v>
      </c>
      <c r="E56" s="11">
        <f t="shared" si="6"/>
        <v>0.84301140586366441</v>
      </c>
      <c r="F56" s="11">
        <f t="shared" si="6"/>
        <v>0.84650575453888044</v>
      </c>
      <c r="G56" s="11">
        <f t="shared" si="6"/>
        <v>0.84911336271279481</v>
      </c>
      <c r="H56" s="11">
        <f t="shared" si="6"/>
        <v>0.85112451043206772</v>
      </c>
      <c r="I56" s="11">
        <f t="shared" si="6"/>
        <v>0.85336086213758566</v>
      </c>
      <c r="J56" s="11">
        <f t="shared" si="6"/>
        <v>0.85628987435243997</v>
      </c>
      <c r="K56" s="11">
        <f t="shared" si="6"/>
        <v>0.86046008563729259</v>
      </c>
      <c r="L56" s="11">
        <f t="shared" si="6"/>
        <v>0.86439584445254758</v>
      </c>
      <c r="M56" s="11">
        <f t="shared" si="6"/>
        <v>0.86773587537713504</v>
      </c>
      <c r="N56" s="11">
        <f t="shared" si="6"/>
        <v>0.87041058509311664</v>
      </c>
      <c r="O56" s="11">
        <f t="shared" si="6"/>
        <v>0.87237870949616758</v>
      </c>
      <c r="P56" s="11">
        <f t="shared" si="6"/>
        <v>0.87425875736462411</v>
      </c>
      <c r="Q56" s="11">
        <f t="shared" si="6"/>
        <v>0.87562670474025639</v>
      </c>
      <c r="R56" s="11">
        <f t="shared" si="6"/>
        <v>0.87697677332199264</v>
      </c>
      <c r="S56" s="11">
        <f t="shared" si="6"/>
        <v>0.87835571328513706</v>
      </c>
      <c r="T56" s="11">
        <f t="shared" si="6"/>
        <v>0.88048463155503665</v>
      </c>
      <c r="U56" s="11">
        <f t="shared" si="6"/>
        <v>0.88311215786297703</v>
      </c>
      <c r="V56" s="11">
        <f t="shared" si="6"/>
        <v>0.88547322160704522</v>
      </c>
      <c r="W56" s="11">
        <f t="shared" si="6"/>
        <v>0.88695729606079265</v>
      </c>
      <c r="X56" s="11">
        <f t="shared" si="6"/>
        <v>0.887305740745156</v>
      </c>
      <c r="Y56" s="11">
        <f t="shared" si="6"/>
        <v>0.88712355208956684</v>
      </c>
      <c r="Z56" s="11">
        <f t="shared" si="6"/>
        <v>0.88724713488487339</v>
      </c>
      <c r="AA56" s="11">
        <f t="shared" si="6"/>
        <v>0.88731906594555576</v>
      </c>
      <c r="AB56" s="11">
        <f t="shared" si="6"/>
        <v>0.88653839781095933</v>
      </c>
      <c r="AC56" s="11">
        <f t="shared" si="6"/>
        <v>0.88402741161225495</v>
      </c>
      <c r="AD56" s="11">
        <f t="shared" si="6"/>
        <v>0.87954674989728587</v>
      </c>
      <c r="AE56" s="11">
        <f t="shared" si="6"/>
        <v>0.87286705180253343</v>
      </c>
    </row>
    <row r="57" spans="1:31" ht="13">
      <c r="A57" s="9" t="s">
        <v>21</v>
      </c>
      <c r="B57" s="11">
        <f t="shared" si="7"/>
        <v>0.9494290894528794</v>
      </c>
      <c r="C57" s="11">
        <f t="shared" si="6"/>
        <v>0.95042188348708456</v>
      </c>
      <c r="D57" s="11">
        <f t="shared" si="6"/>
        <v>0.95113331710778948</v>
      </c>
      <c r="E57" s="11">
        <f t="shared" si="6"/>
        <v>0.95176736326064248</v>
      </c>
      <c r="F57" s="11">
        <f t="shared" si="6"/>
        <v>0.95259304209339324</v>
      </c>
      <c r="G57" s="11">
        <f t="shared" si="6"/>
        <v>0.95364111269077778</v>
      </c>
      <c r="H57" s="11">
        <f t="shared" si="6"/>
        <v>0.95484425357217828</v>
      </c>
      <c r="I57" s="11">
        <f t="shared" si="6"/>
        <v>0.95631603384294883</v>
      </c>
      <c r="J57" s="11">
        <f t="shared" si="6"/>
        <v>0.95820253155370816</v>
      </c>
      <c r="K57" s="11">
        <f t="shared" si="6"/>
        <v>0.96037759710173731</v>
      </c>
      <c r="L57" s="11">
        <f t="shared" si="6"/>
        <v>0.9622405849607516</v>
      </c>
      <c r="M57" s="11">
        <f t="shared" si="6"/>
        <v>0.96356711370204651</v>
      </c>
      <c r="N57" s="11">
        <f t="shared" si="6"/>
        <v>0.9645039737986365</v>
      </c>
      <c r="O57" s="11">
        <f t="shared" si="6"/>
        <v>0.96553516429493169</v>
      </c>
      <c r="P57" s="11">
        <f t="shared" si="6"/>
        <v>0.96679575704512044</v>
      </c>
      <c r="Q57" s="11">
        <f t="shared" si="6"/>
        <v>0.96807227821419772</v>
      </c>
      <c r="R57" s="11">
        <f t="shared" si="6"/>
        <v>0.96928883067617888</v>
      </c>
      <c r="S57" s="11">
        <f t="shared" si="6"/>
        <v>0.97047655438679881</v>
      </c>
      <c r="T57" s="11">
        <f t="shared" si="6"/>
        <v>0.97162971656002883</v>
      </c>
      <c r="U57" s="11">
        <f t="shared" si="6"/>
        <v>0.97269319981314573</v>
      </c>
      <c r="V57" s="11">
        <f t="shared" si="6"/>
        <v>0.97345535328671007</v>
      </c>
      <c r="W57" s="11">
        <f t="shared" si="6"/>
        <v>0.97387659758682021</v>
      </c>
      <c r="X57" s="11">
        <f t="shared" si="6"/>
        <v>0.97414793985788861</v>
      </c>
      <c r="Y57" s="11">
        <f t="shared" si="6"/>
        <v>0.97452378202097789</v>
      </c>
      <c r="Z57" s="11">
        <f t="shared" si="6"/>
        <v>0.97486717071253004</v>
      </c>
      <c r="AA57" s="11">
        <f t="shared" si="6"/>
        <v>0.97493430225553035</v>
      </c>
      <c r="AB57" s="11">
        <f t="shared" si="6"/>
        <v>0.97466477147945263</v>
      </c>
      <c r="AC57" s="11">
        <f t="shared" si="6"/>
        <v>0.97408179982906029</v>
      </c>
      <c r="AD57" s="11">
        <f t="shared" si="6"/>
        <v>0.9732298920890825</v>
      </c>
      <c r="AE57" s="11">
        <f t="shared" si="6"/>
        <v>0.97153689332489801</v>
      </c>
    </row>
    <row r="58" spans="1:31" ht="13">
      <c r="A58" s="9" t="s">
        <v>22</v>
      </c>
      <c r="B58" s="11">
        <f t="shared" si="7"/>
        <v>0.99094609622913388</v>
      </c>
      <c r="C58" s="11">
        <f t="shared" si="6"/>
        <v>0.99132111388293509</v>
      </c>
      <c r="D58" s="11">
        <f t="shared" si="6"/>
        <v>0.99163643196881257</v>
      </c>
      <c r="E58" s="11">
        <f t="shared" si="6"/>
        <v>0.99193243681349863</v>
      </c>
      <c r="F58" s="11">
        <f t="shared" si="6"/>
        <v>0.99223796324688662</v>
      </c>
      <c r="G58" s="11">
        <f t="shared" si="6"/>
        <v>0.9925401276885103</v>
      </c>
      <c r="H58" s="11">
        <f t="shared" si="6"/>
        <v>0.99284901148997284</v>
      </c>
      <c r="I58" s="11">
        <f t="shared" si="6"/>
        <v>0.99321277453946155</v>
      </c>
      <c r="J58" s="11">
        <f t="shared" si="6"/>
        <v>0.99366969328352195</v>
      </c>
      <c r="K58" s="11">
        <f t="shared" si="6"/>
        <v>0.99418996790691472</v>
      </c>
      <c r="L58" s="11">
        <f t="shared" si="6"/>
        <v>0.9946595175638373</v>
      </c>
      <c r="M58" s="11">
        <f t="shared" si="6"/>
        <v>0.99502148688948799</v>
      </c>
      <c r="N58" s="11">
        <f t="shared" si="6"/>
        <v>0.99531811742848275</v>
      </c>
      <c r="O58" s="11">
        <f t="shared" si="6"/>
        <v>0.99562193449870739</v>
      </c>
      <c r="P58" s="11">
        <f t="shared" si="6"/>
        <v>0.99592100669601014</v>
      </c>
      <c r="Q58" s="11">
        <f t="shared" si="6"/>
        <v>0.99615027695076064</v>
      </c>
      <c r="R58" s="11">
        <f t="shared" si="6"/>
        <v>0.99632603900065309</v>
      </c>
      <c r="S58" s="11">
        <f t="shared" si="6"/>
        <v>0.99651467157061335</v>
      </c>
      <c r="T58" s="11">
        <f t="shared" si="6"/>
        <v>0.99674871829600731</v>
      </c>
      <c r="U58" s="11">
        <f t="shared" si="6"/>
        <v>0.99701687569400366</v>
      </c>
      <c r="V58" s="11">
        <f t="shared" si="6"/>
        <v>0.99726135968345153</v>
      </c>
      <c r="W58" s="11">
        <f t="shared" si="6"/>
        <v>0.99745450439550465</v>
      </c>
      <c r="X58" s="11">
        <f t="shared" si="6"/>
        <v>0.99763841614228921</v>
      </c>
      <c r="Y58" s="11">
        <f t="shared" si="6"/>
        <v>0.99784465821592672</v>
      </c>
      <c r="Z58" s="11">
        <f t="shared" si="6"/>
        <v>0.9980184084398771</v>
      </c>
      <c r="AA58" s="11">
        <f t="shared" si="6"/>
        <v>0.9980884162104946</v>
      </c>
      <c r="AB58" s="11">
        <f t="shared" si="6"/>
        <v>0.99805846562360245</v>
      </c>
      <c r="AC58" s="11">
        <f t="shared" si="6"/>
        <v>0.99797729995006601</v>
      </c>
      <c r="AD58" s="11">
        <f t="shared" si="6"/>
        <v>0.99783519197875847</v>
      </c>
      <c r="AE58" s="11">
        <f t="shared" si="6"/>
        <v>0.99747575182897397</v>
      </c>
    </row>
    <row r="60" spans="1:31" s="6" customFormat="1">
      <c r="A60" s="5" t="s">
        <v>5</v>
      </c>
    </row>
    <row r="61" spans="1:31">
      <c r="A61" s="1" t="s">
        <v>33</v>
      </c>
    </row>
    <row r="63" spans="1:31" ht="13">
      <c r="A63" s="9" t="s">
        <v>23</v>
      </c>
    </row>
    <row r="64" spans="1:31" ht="13">
      <c r="A64" s="9" t="s">
        <v>16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ht="13">
      <c r="A65" s="9" t="s">
        <v>17</v>
      </c>
      <c r="B65" s="11">
        <f>LN(-LN(B53))</f>
        <v>0.73913123565711403</v>
      </c>
      <c r="C65" s="11">
        <f t="shared" ref="C65:AE65" si="8">LN(-LN(C53))</f>
        <v>0.73040556232240639</v>
      </c>
      <c r="D65" s="11">
        <f t="shared" si="8"/>
        <v>0.72003106330748179</v>
      </c>
      <c r="E65" s="11">
        <f t="shared" si="8"/>
        <v>0.70911645829300074</v>
      </c>
      <c r="F65" s="11">
        <f t="shared" si="8"/>
        <v>0.69812517502829752</v>
      </c>
      <c r="G65" s="11">
        <f t="shared" si="8"/>
        <v>0.68663044434678477</v>
      </c>
      <c r="H65" s="11">
        <f t="shared" si="8"/>
        <v>0.67438054775533174</v>
      </c>
      <c r="I65" s="11">
        <f t="shared" si="8"/>
        <v>0.66426260150926297</v>
      </c>
      <c r="J65" s="11">
        <f t="shared" si="8"/>
        <v>0.65885613780667229</v>
      </c>
      <c r="K65" s="11">
        <f t="shared" si="8"/>
        <v>0.65708989602666035</v>
      </c>
      <c r="L65" s="11">
        <f t="shared" si="8"/>
        <v>0.65335424109182749</v>
      </c>
      <c r="M65" s="11">
        <f t="shared" si="8"/>
        <v>0.64669964126433233</v>
      </c>
      <c r="N65" s="11">
        <f t="shared" si="8"/>
        <v>0.6385683191687509</v>
      </c>
      <c r="O65" s="11">
        <f t="shared" si="8"/>
        <v>0.63248423430105294</v>
      </c>
      <c r="P65" s="11">
        <f t="shared" si="8"/>
        <v>0.62891111690695545</v>
      </c>
      <c r="Q65" s="11">
        <f t="shared" si="8"/>
        <v>0.62585652792933788</v>
      </c>
      <c r="R65" s="11">
        <f t="shared" si="8"/>
        <v>0.62168617402261739</v>
      </c>
      <c r="S65" s="11">
        <f t="shared" si="8"/>
        <v>0.61569503769885181</v>
      </c>
      <c r="T65" s="11">
        <f t="shared" si="8"/>
        <v>0.60752718622865054</v>
      </c>
      <c r="U65" s="11">
        <f t="shared" si="8"/>
        <v>0.59778486102266293</v>
      </c>
      <c r="V65" s="11">
        <f t="shared" si="8"/>
        <v>0.58676615590151571</v>
      </c>
      <c r="W65" s="11">
        <f t="shared" si="8"/>
        <v>0.57634995674970912</v>
      </c>
      <c r="X65" s="11">
        <f t="shared" si="8"/>
        <v>0.56824163210695322</v>
      </c>
      <c r="Y65" s="11">
        <f t="shared" si="8"/>
        <v>0.56602907140394254</v>
      </c>
      <c r="Z65" s="11">
        <f t="shared" si="8"/>
        <v>0.56867169503019188</v>
      </c>
      <c r="AA65" s="11">
        <f t="shared" si="8"/>
        <v>0.57394234792695686</v>
      </c>
      <c r="AB65" s="11">
        <f t="shared" si="8"/>
        <v>0.57926080867531771</v>
      </c>
      <c r="AC65" s="11">
        <f t="shared" si="8"/>
        <v>0.58350938673628716</v>
      </c>
      <c r="AD65" s="11">
        <f t="shared" si="8"/>
        <v>0.5902849812434211</v>
      </c>
      <c r="AE65" s="11">
        <f t="shared" si="8"/>
        <v>0.60116761034161892</v>
      </c>
    </row>
    <row r="66" spans="1:31" ht="13">
      <c r="A66" s="9" t="s">
        <v>18</v>
      </c>
      <c r="B66" s="11">
        <f t="shared" ref="B66:Q70" si="9">LN(-LN(B54))</f>
        <v>-4.9281022233554045E-2</v>
      </c>
      <c r="C66" s="11">
        <f t="shared" si="9"/>
        <v>-5.9555700918657216E-2</v>
      </c>
      <c r="D66" s="11">
        <f t="shared" si="9"/>
        <v>-6.9565147640518715E-2</v>
      </c>
      <c r="E66" s="11">
        <f t="shared" si="9"/>
        <v>-8.1217415670024898E-2</v>
      </c>
      <c r="F66" s="11">
        <f t="shared" si="9"/>
        <v>-9.3661216923644167E-2</v>
      </c>
      <c r="G66" s="11">
        <f t="shared" si="9"/>
        <v>-0.10523601286178749</v>
      </c>
      <c r="H66" s="11">
        <f t="shared" si="9"/>
        <v>-0.11777165486718932</v>
      </c>
      <c r="I66" s="11">
        <f t="shared" si="9"/>
        <v>-0.12967422066642859</v>
      </c>
      <c r="J66" s="11">
        <f t="shared" si="9"/>
        <v>-0.14062698805579593</v>
      </c>
      <c r="K66" s="11">
        <f t="shared" si="9"/>
        <v>-0.14902014133041744</v>
      </c>
      <c r="L66" s="11">
        <f t="shared" si="9"/>
        <v>-0.15746892292446257</v>
      </c>
      <c r="M66" s="11">
        <f t="shared" si="9"/>
        <v>-0.16576270909297547</v>
      </c>
      <c r="N66" s="11">
        <f t="shared" si="9"/>
        <v>-0.17419294084717299</v>
      </c>
      <c r="O66" s="11">
        <f t="shared" si="9"/>
        <v>-0.17809348492868654</v>
      </c>
      <c r="P66" s="11">
        <f t="shared" si="9"/>
        <v>-0.17994573792645513</v>
      </c>
      <c r="Q66" s="11">
        <f t="shared" si="9"/>
        <v>-0.18185413764950717</v>
      </c>
      <c r="R66" s="11">
        <f t="shared" ref="R66:AE66" si="10">LN(-LN(R54))</f>
        <v>-0.18760276396274841</v>
      </c>
      <c r="S66" s="11">
        <f t="shared" si="10"/>
        <v>-0.19778974635440119</v>
      </c>
      <c r="T66" s="11">
        <f t="shared" si="10"/>
        <v>-0.21125882619744524</v>
      </c>
      <c r="U66" s="11">
        <f t="shared" si="10"/>
        <v>-0.22626872802446785</v>
      </c>
      <c r="V66" s="11">
        <f t="shared" si="10"/>
        <v>-0.24132477694529572</v>
      </c>
      <c r="W66" s="11">
        <f t="shared" si="10"/>
        <v>-0.25178136215050434</v>
      </c>
      <c r="X66" s="11">
        <f t="shared" si="10"/>
        <v>-0.2579442005409518</v>
      </c>
      <c r="Y66" s="11">
        <f t="shared" si="10"/>
        <v>-0.25780537709612428</v>
      </c>
      <c r="Z66" s="11">
        <f t="shared" si="10"/>
        <v>-0.25366496067006455</v>
      </c>
      <c r="AA66" s="11">
        <f t="shared" si="10"/>
        <v>-0.2442488945817978</v>
      </c>
      <c r="AB66" s="11">
        <f t="shared" si="10"/>
        <v>-0.23129911495497943</v>
      </c>
      <c r="AC66" s="11">
        <f t="shared" si="10"/>
        <v>-0.21591702590315667</v>
      </c>
      <c r="AD66" s="11">
        <f t="shared" si="10"/>
        <v>-0.19708199036083976</v>
      </c>
      <c r="AE66" s="11">
        <f t="shared" si="10"/>
        <v>-0.17485715200549393</v>
      </c>
    </row>
    <row r="67" spans="1:31" ht="13">
      <c r="A67" s="9" t="s">
        <v>19</v>
      </c>
      <c r="B67" s="11">
        <f t="shared" si="9"/>
        <v>-0.8154219287606238</v>
      </c>
      <c r="C67" s="11">
        <f t="shared" si="9"/>
        <v>-0.82890545041459296</v>
      </c>
      <c r="D67" s="11">
        <f t="shared" si="9"/>
        <v>-0.84024848342010272</v>
      </c>
      <c r="E67" s="11">
        <f t="shared" si="9"/>
        <v>-0.85468827861580476</v>
      </c>
      <c r="F67" s="11">
        <f t="shared" si="9"/>
        <v>-0.8733292464974719</v>
      </c>
      <c r="G67" s="11">
        <f t="shared" si="9"/>
        <v>-0.88927740837102331</v>
      </c>
      <c r="H67" s="11">
        <f t="shared" si="9"/>
        <v>-0.90664283645387722</v>
      </c>
      <c r="I67" s="11">
        <f t="shared" si="9"/>
        <v>-0.92115033738425067</v>
      </c>
      <c r="J67" s="11">
        <f t="shared" si="9"/>
        <v>-0.93398747086172362</v>
      </c>
      <c r="K67" s="11">
        <f t="shared" si="9"/>
        <v>-0.94882503622232517</v>
      </c>
      <c r="L67" s="11">
        <f t="shared" si="9"/>
        <v>-0.96344384327876298</v>
      </c>
      <c r="M67" s="11">
        <f t="shared" si="9"/>
        <v>-0.9763721960699383</v>
      </c>
      <c r="N67" s="11">
        <f t="shared" si="9"/>
        <v>-0.98488038589636206</v>
      </c>
      <c r="O67" s="11">
        <f t="shared" si="9"/>
        <v>-0.98804042399610181</v>
      </c>
      <c r="P67" s="11">
        <f t="shared" si="9"/>
        <v>-0.99096809662495278</v>
      </c>
      <c r="Q67" s="11">
        <f t="shared" si="9"/>
        <v>-0.9962295863614733</v>
      </c>
      <c r="R67" s="11">
        <f t="shared" ref="R67:AE67" si="11">LN(-LN(R55))</f>
        <v>-1.0053712971705431</v>
      </c>
      <c r="S67" s="11">
        <f t="shared" si="11"/>
        <v>-1.0171211395335182</v>
      </c>
      <c r="T67" s="11">
        <f t="shared" si="11"/>
        <v>-1.0320100398264029</v>
      </c>
      <c r="U67" s="11">
        <f t="shared" si="11"/>
        <v>-1.0493616999529576</v>
      </c>
      <c r="V67" s="11">
        <f t="shared" si="11"/>
        <v>-1.0664519840579609</v>
      </c>
      <c r="W67" s="11">
        <f t="shared" si="11"/>
        <v>-1.0775284947521289</v>
      </c>
      <c r="X67" s="11">
        <f t="shared" si="11"/>
        <v>-1.0816408219983258</v>
      </c>
      <c r="Y67" s="11">
        <f t="shared" si="11"/>
        <v>-1.0792847808137549</v>
      </c>
      <c r="Z67" s="11">
        <f t="shared" si="11"/>
        <v>-1.0771927236947803</v>
      </c>
      <c r="AA67" s="11">
        <f t="shared" si="11"/>
        <v>-1.0711771800936134</v>
      </c>
      <c r="AB67" s="11">
        <f t="shared" si="11"/>
        <v>-1.0622694878282297</v>
      </c>
      <c r="AC67" s="11">
        <f t="shared" si="11"/>
        <v>-1.0452828986171818</v>
      </c>
      <c r="AD67" s="11">
        <f t="shared" si="11"/>
        <v>-1.0192546425850035</v>
      </c>
      <c r="AE67" s="11">
        <f t="shared" si="11"/>
        <v>-0.98364730105428266</v>
      </c>
    </row>
    <row r="68" spans="1:31" ht="13">
      <c r="A68" s="9" t="s">
        <v>20</v>
      </c>
      <c r="B68" s="11">
        <f t="shared" si="9"/>
        <v>-1.7015034300316021</v>
      </c>
      <c r="C68" s="11">
        <f t="shared" si="9"/>
        <v>-1.7226289406324282</v>
      </c>
      <c r="D68" s="11">
        <f t="shared" si="9"/>
        <v>-1.7433454913072481</v>
      </c>
      <c r="E68" s="11">
        <f t="shared" si="9"/>
        <v>-1.7674096022886809</v>
      </c>
      <c r="F68" s="11">
        <f t="shared" si="9"/>
        <v>-1.7919298073684196</v>
      </c>
      <c r="G68" s="11">
        <f t="shared" si="9"/>
        <v>-1.8105596303765095</v>
      </c>
      <c r="H68" s="11">
        <f t="shared" si="9"/>
        <v>-1.8251289876851695</v>
      </c>
      <c r="I68" s="11">
        <f t="shared" si="9"/>
        <v>-1.8415416719141171</v>
      </c>
      <c r="J68" s="11">
        <f t="shared" si="9"/>
        <v>-1.8633865950835886</v>
      </c>
      <c r="K68" s="11">
        <f t="shared" si="9"/>
        <v>-1.8952014964425756</v>
      </c>
      <c r="L68" s="11">
        <f t="shared" si="9"/>
        <v>-1.9260376883378345</v>
      </c>
      <c r="M68" s="11">
        <f t="shared" si="9"/>
        <v>-1.9528589242951044</v>
      </c>
      <c r="N68" s="11">
        <f t="shared" si="9"/>
        <v>-1.9747915376167966</v>
      </c>
      <c r="O68" s="11">
        <f t="shared" si="9"/>
        <v>-1.9911988269614878</v>
      </c>
      <c r="P68" s="11">
        <f t="shared" si="9"/>
        <v>-2.0070919608078199</v>
      </c>
      <c r="Q68" s="11">
        <f t="shared" si="9"/>
        <v>-2.0187949718026075</v>
      </c>
      <c r="R68" s="11">
        <f t="shared" ref="R68:AE68" si="12">LN(-LN(R56))</f>
        <v>-2.0304626623648656</v>
      </c>
      <c r="S68" s="11">
        <f t="shared" si="12"/>
        <v>-2.0425032236840011</v>
      </c>
      <c r="T68" s="11">
        <f t="shared" si="12"/>
        <v>-2.0613438538454689</v>
      </c>
      <c r="U68" s="11">
        <f t="shared" si="12"/>
        <v>-2.0850326038025226</v>
      </c>
      <c r="V68" s="11">
        <f t="shared" si="12"/>
        <v>-2.1067464450734303</v>
      </c>
      <c r="W68" s="11">
        <f t="shared" si="12"/>
        <v>-2.1206099122676654</v>
      </c>
      <c r="X68" s="11">
        <f t="shared" si="12"/>
        <v>-2.1238895584591364</v>
      </c>
      <c r="Y68" s="11">
        <f t="shared" si="12"/>
        <v>-2.1221735735244458</v>
      </c>
      <c r="Z68" s="11">
        <f t="shared" si="12"/>
        <v>-2.1233372830810375</v>
      </c>
      <c r="AA68" s="11">
        <f t="shared" si="12"/>
        <v>-2.12401516665778</v>
      </c>
      <c r="AB68" s="11">
        <f t="shared" si="12"/>
        <v>-2.1166796288887655</v>
      </c>
      <c r="AC68" s="11">
        <f t="shared" si="12"/>
        <v>-2.0934008554069607</v>
      </c>
      <c r="AD68" s="11">
        <f t="shared" si="12"/>
        <v>-2.053005582229007</v>
      </c>
      <c r="AE68" s="11">
        <f t="shared" si="12"/>
        <v>-1.9953061230419231</v>
      </c>
    </row>
    <row r="69" spans="1:31" ht="13">
      <c r="A69" s="9" t="s">
        <v>21</v>
      </c>
      <c r="B69" s="11">
        <f t="shared" si="9"/>
        <v>-2.9585437487797077</v>
      </c>
      <c r="C69" s="11">
        <f t="shared" si="9"/>
        <v>-2.9788888225741004</v>
      </c>
      <c r="D69" s="11">
        <f t="shared" si="9"/>
        <v>-2.993713512050868</v>
      </c>
      <c r="E69" s="11">
        <f t="shared" si="9"/>
        <v>-3.0071038783446205</v>
      </c>
      <c r="F69" s="11">
        <f t="shared" si="9"/>
        <v>-3.0248008038592133</v>
      </c>
      <c r="G69" s="11">
        <f t="shared" si="9"/>
        <v>-3.0477022081814589</v>
      </c>
      <c r="H69" s="11">
        <f t="shared" si="9"/>
        <v>-3.0746231750479103</v>
      </c>
      <c r="I69" s="11">
        <f t="shared" si="9"/>
        <v>-3.108523859652883</v>
      </c>
      <c r="J69" s="11">
        <f t="shared" si="9"/>
        <v>-3.153647403928026</v>
      </c>
      <c r="K69" s="11">
        <f t="shared" si="9"/>
        <v>-3.2082143226990039</v>
      </c>
      <c r="L69" s="11">
        <f t="shared" si="9"/>
        <v>-3.2573367737861463</v>
      </c>
      <c r="M69" s="11">
        <f t="shared" si="9"/>
        <v>-3.2937842641791484</v>
      </c>
      <c r="N69" s="11">
        <f t="shared" si="9"/>
        <v>-3.3203182876835982</v>
      </c>
      <c r="O69" s="11">
        <f t="shared" si="9"/>
        <v>-3.3503306047516648</v>
      </c>
      <c r="P69" s="11">
        <f t="shared" si="9"/>
        <v>-3.3882411131467403</v>
      </c>
      <c r="Q69" s="11">
        <f t="shared" si="9"/>
        <v>-3.4281002323510656</v>
      </c>
      <c r="R69" s="11">
        <f t="shared" ref="R69:AE69" si="13">LN(-LN(R57))</f>
        <v>-3.4675730891561707</v>
      </c>
      <c r="S69" s="11">
        <f t="shared" si="13"/>
        <v>-3.5076239671230449</v>
      </c>
      <c r="T69" s="11">
        <f t="shared" si="13"/>
        <v>-3.548057303776313</v>
      </c>
      <c r="U69" s="11">
        <f t="shared" si="13"/>
        <v>-3.5868081758255217</v>
      </c>
      <c r="V69" s="11">
        <f t="shared" si="13"/>
        <v>-3.6155056810406498</v>
      </c>
      <c r="W69" s="11">
        <f t="shared" si="13"/>
        <v>-3.6317175778045248</v>
      </c>
      <c r="X69" s="11">
        <f t="shared" si="13"/>
        <v>-3.6422975204852057</v>
      </c>
      <c r="Y69" s="11">
        <f t="shared" si="13"/>
        <v>-3.6571344607723884</v>
      </c>
      <c r="Z69" s="11">
        <f t="shared" si="13"/>
        <v>-3.6708803175503748</v>
      </c>
      <c r="AA69" s="11">
        <f t="shared" si="13"/>
        <v>-3.673589245163476</v>
      </c>
      <c r="AB69" s="11">
        <f t="shared" si="13"/>
        <v>-3.6627560128085674</v>
      </c>
      <c r="AC69" s="11">
        <f t="shared" si="13"/>
        <v>-3.6397085826658593</v>
      </c>
      <c r="AD69" s="11">
        <f t="shared" si="13"/>
        <v>-3.606932592991134</v>
      </c>
      <c r="AE69" s="11">
        <f t="shared" si="13"/>
        <v>-3.5447432577842712</v>
      </c>
    </row>
    <row r="70" spans="1:31" ht="13">
      <c r="A70" s="9" t="s">
        <v>22</v>
      </c>
      <c r="B70" s="11">
        <f t="shared" si="9"/>
        <v>-4.7000151353889645</v>
      </c>
      <c r="C70" s="11">
        <f t="shared" si="9"/>
        <v>-4.7425068684952878</v>
      </c>
      <c r="D70" s="11">
        <f t="shared" si="9"/>
        <v>-4.779673714611401</v>
      </c>
      <c r="E70" s="11">
        <f t="shared" si="9"/>
        <v>-4.8158563947456718</v>
      </c>
      <c r="F70" s="11">
        <f t="shared" si="9"/>
        <v>-4.8546168819694788</v>
      </c>
      <c r="G70" s="11">
        <f t="shared" si="9"/>
        <v>-4.8944753993291759</v>
      </c>
      <c r="H70" s="11">
        <f t="shared" si="9"/>
        <v>-4.9369184850218399</v>
      </c>
      <c r="I70" s="11">
        <f t="shared" si="9"/>
        <v>-4.9893097931710439</v>
      </c>
      <c r="J70" s="11">
        <f t="shared" si="9"/>
        <v>-5.0592330558755405</v>
      </c>
      <c r="K70" s="11">
        <f t="shared" si="9"/>
        <v>-5.1452571111061518</v>
      </c>
      <c r="L70" s="11">
        <f t="shared" si="9"/>
        <v>-5.2297630840880478</v>
      </c>
      <c r="M70" s="11">
        <f t="shared" si="9"/>
        <v>-5.3001295690148806</v>
      </c>
      <c r="N70" s="11">
        <f t="shared" si="9"/>
        <v>-5.3617094702378756</v>
      </c>
      <c r="O70" s="11">
        <f t="shared" si="9"/>
        <v>-5.4289552820360143</v>
      </c>
      <c r="P70" s="11">
        <f t="shared" si="9"/>
        <v>-5.4998620887809606</v>
      </c>
      <c r="Q70" s="11">
        <f t="shared" si="9"/>
        <v>-5.5578261122802317</v>
      </c>
      <c r="R70" s="11">
        <f t="shared" ref="R70:AE70" si="14">LN(-LN(R58))</f>
        <v>-5.604645108761062</v>
      </c>
      <c r="S70" s="11">
        <f t="shared" si="14"/>
        <v>-5.6574477981010549</v>
      </c>
      <c r="T70" s="11">
        <f t="shared" si="14"/>
        <v>-5.7270781425101216</v>
      </c>
      <c r="U70" s="11">
        <f t="shared" si="14"/>
        <v>-5.8132906834043165</v>
      </c>
      <c r="V70" s="11">
        <f t="shared" si="14"/>
        <v>-5.8989228313216104</v>
      </c>
      <c r="W70" s="11">
        <f t="shared" si="14"/>
        <v>-5.9721558116245088</v>
      </c>
      <c r="X70" s="11">
        <f t="shared" si="14"/>
        <v>-6.0472408034311922</v>
      </c>
      <c r="Y70" s="11">
        <f t="shared" si="14"/>
        <v>-6.1387273275464853</v>
      </c>
      <c r="Z70" s="11">
        <f t="shared" si="14"/>
        <v>-6.2228633241030593</v>
      </c>
      <c r="AA70" s="11">
        <f t="shared" si="14"/>
        <v>-6.258866617311595</v>
      </c>
      <c r="AB70" s="11">
        <f t="shared" si="14"/>
        <v>-6.2433051494186476</v>
      </c>
      <c r="AC70" s="11">
        <f t="shared" si="14"/>
        <v>-6.2023097983001643</v>
      </c>
      <c r="AD70" s="11">
        <f t="shared" si="14"/>
        <v>-6.134340213638164</v>
      </c>
      <c r="AE70" s="11">
        <f t="shared" si="14"/>
        <v>-5.9805485610775406</v>
      </c>
    </row>
    <row r="71" spans="1:31" s="12" customFormat="1" ht="13">
      <c r="A71" s="12" t="s">
        <v>0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3" spans="1:31" s="6" customFormat="1">
      <c r="A73" s="5" t="s">
        <v>6</v>
      </c>
    </row>
    <row r="74" spans="1:31" ht="13">
      <c r="A74" s="1" t="s">
        <v>34</v>
      </c>
    </row>
    <row r="76" spans="1:31" ht="13">
      <c r="A76" s="9" t="s">
        <v>36</v>
      </c>
      <c r="B76" s="10" t="s">
        <v>35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13">
      <c r="A77" s="9" t="s">
        <v>16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ht="13">
      <c r="A78" s="9" t="s">
        <v>17</v>
      </c>
      <c r="B78" s="11">
        <f>5*B20</f>
        <v>0.39994296166666671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ht="13">
      <c r="A79" s="9" t="s">
        <v>18</v>
      </c>
      <c r="B79" s="11">
        <f>5*B21+B78</f>
        <v>1.1408196733333333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ht="13">
      <c r="A80" s="9" t="s">
        <v>19</v>
      </c>
      <c r="B80" s="11">
        <f>5*B22+B79</f>
        <v>1.8230049749999999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ht="13">
      <c r="A81" s="9" t="s">
        <v>20</v>
      </c>
      <c r="B81" s="11">
        <f>5*B23+B80</f>
        <v>2.3110951916666664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ht="13">
      <c r="A82" s="9" t="s">
        <v>21</v>
      </c>
      <c r="B82" s="11">
        <f>5*B24+B81</f>
        <v>2.5724887116666664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ht="13">
      <c r="A83" s="9" t="s">
        <v>22</v>
      </c>
      <c r="B83" s="11">
        <f>5*B25+B82</f>
        <v>2.6563613449999997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s="12" customFormat="1" ht="13">
      <c r="A84" s="12" t="s">
        <v>0</v>
      </c>
      <c r="B84" s="13">
        <f>B33</f>
        <v>2.6697853466666674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6" spans="1:31" s="6" customFormat="1">
      <c r="A86" s="5"/>
    </row>
    <row r="87" spans="1:31" ht="13">
      <c r="A87" s="1" t="s">
        <v>37</v>
      </c>
    </row>
    <row r="89" spans="1:31" ht="13">
      <c r="A89" s="9" t="s">
        <v>36</v>
      </c>
      <c r="B89" s="10" t="s">
        <v>35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ht="13">
      <c r="A90" s="9" t="s">
        <v>16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ht="13">
      <c r="A91" s="9" t="s">
        <v>17</v>
      </c>
      <c r="B91" s="11">
        <f>B78/$B$84</f>
        <v>0.14980341478239489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ht="13">
      <c r="A92" s="9" t="s">
        <v>18</v>
      </c>
      <c r="B92" s="11">
        <f t="shared" ref="B92:B96" si="15">B79/$B$84</f>
        <v>0.42730763907955815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ht="13">
      <c r="A93" s="9" t="s">
        <v>19</v>
      </c>
      <c r="B93" s="11">
        <f t="shared" si="15"/>
        <v>0.68282829452041671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ht="13">
      <c r="A94" s="9" t="s">
        <v>20</v>
      </c>
      <c r="B94" s="11">
        <f t="shared" si="15"/>
        <v>0.86564831684021348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ht="13">
      <c r="A95" s="9" t="s">
        <v>21</v>
      </c>
      <c r="B95" s="11">
        <f t="shared" si="15"/>
        <v>0.96355638286745415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ht="13">
      <c r="A96" s="9" t="s">
        <v>22</v>
      </c>
      <c r="B96" s="11">
        <f t="shared" si="15"/>
        <v>0.99497187978672963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ht="13">
      <c r="A97" s="9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s="6" customFormat="1">
      <c r="A98" s="5"/>
    </row>
    <row r="99" spans="1:31">
      <c r="A99" s="1" t="s">
        <v>42</v>
      </c>
    </row>
    <row r="101" spans="1:31" ht="13">
      <c r="A101" s="9" t="s">
        <v>36</v>
      </c>
      <c r="B101" s="10" t="s">
        <v>35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ht="13">
      <c r="A102" s="9" t="s">
        <v>16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3">
      <c r="A103" s="9" t="s">
        <v>17</v>
      </c>
      <c r="B103" s="11">
        <f>LN(-LN(B91))</f>
        <v>0.6410279728570919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3">
      <c r="A104" s="9" t="s">
        <v>18</v>
      </c>
      <c r="B104" s="11">
        <f t="shared" ref="B104:B108" si="16">LN(-LN(B92))</f>
        <v>-0.16222360965457072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3">
      <c r="A105" s="9" t="s">
        <v>19</v>
      </c>
      <c r="B105" s="11">
        <f t="shared" si="16"/>
        <v>-0.96361336723916879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3">
      <c r="A106" s="9" t="s">
        <v>20</v>
      </c>
      <c r="B106" s="11">
        <f t="shared" si="16"/>
        <v>-1.9360233104839379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3">
      <c r="A107" s="9" t="s">
        <v>21</v>
      </c>
      <c r="B107" s="11">
        <f t="shared" si="16"/>
        <v>-3.2934842366341224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3">
      <c r="A108" s="9" t="s">
        <v>22</v>
      </c>
      <c r="B108" s="11">
        <f t="shared" si="16"/>
        <v>-5.2901897366404391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3">
      <c r="B109" s="11"/>
    </row>
    <row r="110" spans="1:31" s="6" customFormat="1">
      <c r="A110" s="5" t="s">
        <v>7</v>
      </c>
    </row>
    <row r="113" spans="1:31" ht="13">
      <c r="A113" s="9" t="s">
        <v>29</v>
      </c>
      <c r="B113" s="10">
        <v>1990</v>
      </c>
      <c r="C113" s="10">
        <v>1991</v>
      </c>
      <c r="D113" s="10">
        <v>1992</v>
      </c>
      <c r="E113" s="10">
        <v>1993</v>
      </c>
      <c r="F113" s="10">
        <v>1994</v>
      </c>
      <c r="G113" s="10">
        <v>1995</v>
      </c>
      <c r="H113" s="10">
        <v>1996</v>
      </c>
      <c r="I113" s="10">
        <v>1997</v>
      </c>
      <c r="J113" s="10">
        <v>1998</v>
      </c>
      <c r="K113" s="10">
        <v>1999</v>
      </c>
      <c r="L113" s="10">
        <v>2000</v>
      </c>
      <c r="M113" s="10">
        <v>2001</v>
      </c>
      <c r="N113" s="10">
        <v>2002</v>
      </c>
      <c r="O113" s="10">
        <v>2003</v>
      </c>
      <c r="P113" s="10">
        <v>2004</v>
      </c>
      <c r="Q113" s="10">
        <v>2005</v>
      </c>
      <c r="R113" s="10">
        <v>2006</v>
      </c>
      <c r="S113" s="10">
        <v>2007</v>
      </c>
      <c r="T113" s="10">
        <v>2008</v>
      </c>
      <c r="U113" s="10">
        <v>2009</v>
      </c>
      <c r="V113" s="10">
        <v>2010</v>
      </c>
      <c r="W113" s="10">
        <v>2011</v>
      </c>
      <c r="X113" s="10">
        <v>2012</v>
      </c>
      <c r="Y113" s="10">
        <v>2013</v>
      </c>
      <c r="Z113" s="10">
        <v>2014</v>
      </c>
      <c r="AA113" s="10">
        <v>2015</v>
      </c>
      <c r="AB113" s="10">
        <v>2016</v>
      </c>
      <c r="AC113" s="10">
        <v>2017</v>
      </c>
      <c r="AD113" s="10">
        <v>2018</v>
      </c>
      <c r="AE113" s="10">
        <v>2019</v>
      </c>
    </row>
    <row r="114" spans="1:31" ht="15">
      <c r="A114" s="9" t="s">
        <v>38</v>
      </c>
      <c r="B114" s="11">
        <f>AVERAGE(B65:B67)</f>
        <v>-4.1857238445687929E-2</v>
      </c>
      <c r="C114" s="11">
        <f t="shared" ref="C114:AE114" si="17">AVERAGE(C65:C67)</f>
        <v>-5.2685196336947938E-2</v>
      </c>
      <c r="D114" s="11">
        <f t="shared" si="17"/>
        <v>-6.3260855917713202E-2</v>
      </c>
      <c r="E114" s="11">
        <f t="shared" si="17"/>
        <v>-7.559641199760965E-2</v>
      </c>
      <c r="F114" s="11">
        <f t="shared" si="17"/>
        <v>-8.9621762797606183E-2</v>
      </c>
      <c r="G114" s="11">
        <f t="shared" si="17"/>
        <v>-0.10262765896200869</v>
      </c>
      <c r="H114" s="11">
        <f t="shared" si="17"/>
        <v>-0.11667798118857826</v>
      </c>
      <c r="I114" s="11">
        <f t="shared" si="17"/>
        <v>-0.12885398551380542</v>
      </c>
      <c r="J114" s="11">
        <f t="shared" si="17"/>
        <v>-0.13858610703694907</v>
      </c>
      <c r="K114" s="11">
        <f t="shared" si="17"/>
        <v>-0.14691842717536074</v>
      </c>
      <c r="L114" s="11">
        <f t="shared" si="17"/>
        <v>-0.15585284170379934</v>
      </c>
      <c r="M114" s="11">
        <f t="shared" si="17"/>
        <v>-0.16514508796619382</v>
      </c>
      <c r="N114" s="11">
        <f t="shared" si="17"/>
        <v>-0.17350166919159471</v>
      </c>
      <c r="O114" s="11">
        <f t="shared" si="17"/>
        <v>-0.17788322487457844</v>
      </c>
      <c r="P114" s="11">
        <f t="shared" si="17"/>
        <v>-0.1806675725481508</v>
      </c>
      <c r="Q114" s="11">
        <f t="shared" si="17"/>
        <v>-0.1840757320272142</v>
      </c>
      <c r="R114" s="11">
        <f t="shared" si="17"/>
        <v>-0.19042929570355804</v>
      </c>
      <c r="S114" s="11">
        <f t="shared" si="17"/>
        <v>-0.19973861606302254</v>
      </c>
      <c r="T114" s="11">
        <f t="shared" si="17"/>
        <v>-0.21191389326506585</v>
      </c>
      <c r="U114" s="11">
        <f t="shared" si="17"/>
        <v>-0.22594852231825416</v>
      </c>
      <c r="V114" s="11">
        <f t="shared" si="17"/>
        <v>-0.24033686836724699</v>
      </c>
      <c r="W114" s="11">
        <f t="shared" si="17"/>
        <v>-0.25098663338430804</v>
      </c>
      <c r="X114" s="11">
        <f t="shared" si="17"/>
        <v>-0.25711446347744144</v>
      </c>
      <c r="Y114" s="11">
        <f t="shared" si="17"/>
        <v>-0.25702036216864554</v>
      </c>
      <c r="Z114" s="11">
        <f t="shared" si="17"/>
        <v>-0.25406199644488431</v>
      </c>
      <c r="AA114" s="11">
        <f t="shared" si="17"/>
        <v>-0.24716124224948477</v>
      </c>
      <c r="AB114" s="11">
        <f t="shared" si="17"/>
        <v>-0.23810259803596381</v>
      </c>
      <c r="AC114" s="11">
        <f t="shared" si="17"/>
        <v>-0.22589684592801709</v>
      </c>
      <c r="AD114" s="11">
        <f t="shared" si="17"/>
        <v>-0.20868388390080739</v>
      </c>
      <c r="AE114" s="11">
        <f t="shared" si="17"/>
        <v>-0.18577894757271921</v>
      </c>
    </row>
    <row r="115" spans="1:31" ht="15">
      <c r="A115" s="9" t="s">
        <v>39</v>
      </c>
      <c r="B115" s="11">
        <f>AVERAGE(B68:B70)</f>
        <v>-3.1200207714000912</v>
      </c>
      <c r="C115" s="11">
        <f t="shared" ref="C115:AE115" si="18">AVERAGE(C68:C70)</f>
        <v>-3.1480082105672715</v>
      </c>
      <c r="D115" s="11">
        <f t="shared" si="18"/>
        <v>-3.1722442393231725</v>
      </c>
      <c r="E115" s="11">
        <f t="shared" si="18"/>
        <v>-3.1967899584596573</v>
      </c>
      <c r="F115" s="11">
        <f t="shared" si="18"/>
        <v>-3.2237824977323704</v>
      </c>
      <c r="G115" s="11">
        <f t="shared" si="18"/>
        <v>-3.2509124126290483</v>
      </c>
      <c r="H115" s="11">
        <f t="shared" si="18"/>
        <v>-3.2788902159183064</v>
      </c>
      <c r="I115" s="11">
        <f t="shared" si="18"/>
        <v>-3.3131251082460147</v>
      </c>
      <c r="J115" s="11">
        <f t="shared" si="18"/>
        <v>-3.3587556849623845</v>
      </c>
      <c r="K115" s="11">
        <f t="shared" si="18"/>
        <v>-3.4162243100825775</v>
      </c>
      <c r="L115" s="11">
        <f t="shared" si="18"/>
        <v>-3.4710458487373423</v>
      </c>
      <c r="M115" s="11">
        <f t="shared" si="18"/>
        <v>-3.5155909191630443</v>
      </c>
      <c r="N115" s="11">
        <f t="shared" si="18"/>
        <v>-3.5522730985127566</v>
      </c>
      <c r="O115" s="11">
        <f t="shared" si="18"/>
        <v>-3.5901615712497219</v>
      </c>
      <c r="P115" s="11">
        <f t="shared" si="18"/>
        <v>-3.6317317209118407</v>
      </c>
      <c r="Q115" s="11">
        <f t="shared" si="18"/>
        <v>-3.6682404388113015</v>
      </c>
      <c r="R115" s="11">
        <f t="shared" si="18"/>
        <v>-3.7008936200940332</v>
      </c>
      <c r="S115" s="11">
        <f t="shared" si="18"/>
        <v>-3.7358583296360339</v>
      </c>
      <c r="T115" s="11">
        <f t="shared" si="18"/>
        <v>-3.7788264333773012</v>
      </c>
      <c r="U115" s="11">
        <f t="shared" si="18"/>
        <v>-3.8283771543441198</v>
      </c>
      <c r="V115" s="11">
        <f t="shared" si="18"/>
        <v>-3.8737249858118972</v>
      </c>
      <c r="W115" s="11">
        <f t="shared" si="18"/>
        <v>-3.9081611005655663</v>
      </c>
      <c r="X115" s="11">
        <f t="shared" si="18"/>
        <v>-3.9378092941251785</v>
      </c>
      <c r="Y115" s="11">
        <f t="shared" si="18"/>
        <v>-3.9726784539477733</v>
      </c>
      <c r="Z115" s="11">
        <f t="shared" si="18"/>
        <v>-4.0056936415781577</v>
      </c>
      <c r="AA115" s="11">
        <f t="shared" si="18"/>
        <v>-4.0188236763776173</v>
      </c>
      <c r="AB115" s="11">
        <f t="shared" si="18"/>
        <v>-4.0075802637053268</v>
      </c>
      <c r="AC115" s="11">
        <f t="shared" si="18"/>
        <v>-3.9784730787909943</v>
      </c>
      <c r="AD115" s="11">
        <f t="shared" si="18"/>
        <v>-3.9314261296194353</v>
      </c>
      <c r="AE115" s="11">
        <f t="shared" si="18"/>
        <v>-3.8401993139679114</v>
      </c>
    </row>
    <row r="116" spans="1:31" ht="15">
      <c r="A116" s="9" t="s">
        <v>40</v>
      </c>
      <c r="B116" s="11">
        <f>AVERAGE(B103:B105)</f>
        <v>-0.1616030013455492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ht="15">
      <c r="A117" s="9" t="s">
        <v>41</v>
      </c>
      <c r="B117" s="11">
        <f>AVERAGE(B106:B108)</f>
        <v>-3.5065657612528334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9" spans="1:31" s="6" customFormat="1">
      <c r="A119" s="5" t="s">
        <v>8</v>
      </c>
    </row>
    <row r="120" spans="1:31">
      <c r="A120" s="1" t="s">
        <v>12</v>
      </c>
    </row>
    <row r="122" spans="1:31" ht="13">
      <c r="A122" s="9" t="s">
        <v>29</v>
      </c>
      <c r="B122" s="10">
        <v>1990</v>
      </c>
      <c r="C122" s="10">
        <v>1991</v>
      </c>
      <c r="D122" s="10">
        <v>1992</v>
      </c>
      <c r="E122" s="10">
        <v>1993</v>
      </c>
      <c r="F122" s="10">
        <v>1994</v>
      </c>
      <c r="G122" s="10">
        <v>1995</v>
      </c>
      <c r="H122" s="10">
        <v>1996</v>
      </c>
      <c r="I122" s="10">
        <v>1997</v>
      </c>
      <c r="J122" s="10">
        <v>1998</v>
      </c>
      <c r="K122" s="10">
        <v>1999</v>
      </c>
      <c r="L122" s="10">
        <v>2000</v>
      </c>
      <c r="M122" s="10">
        <v>2001</v>
      </c>
      <c r="N122" s="10">
        <v>2002</v>
      </c>
      <c r="O122" s="10">
        <v>2003</v>
      </c>
      <c r="P122" s="10">
        <v>2004</v>
      </c>
      <c r="Q122" s="10">
        <v>2005</v>
      </c>
      <c r="R122" s="10">
        <v>2006</v>
      </c>
      <c r="S122" s="10">
        <v>2007</v>
      </c>
      <c r="T122" s="10">
        <v>2008</v>
      </c>
      <c r="U122" s="10">
        <v>2009</v>
      </c>
      <c r="V122" s="10">
        <v>2010</v>
      </c>
      <c r="W122" s="10">
        <v>2011</v>
      </c>
      <c r="X122" s="10">
        <v>2012</v>
      </c>
      <c r="Y122" s="10">
        <v>2013</v>
      </c>
      <c r="Z122" s="10">
        <v>2014</v>
      </c>
      <c r="AA122" s="10">
        <v>2015</v>
      </c>
      <c r="AB122" s="10">
        <v>2016</v>
      </c>
      <c r="AC122" s="10">
        <v>2017</v>
      </c>
      <c r="AD122" s="10">
        <v>2018</v>
      </c>
      <c r="AE122" s="10">
        <v>2019</v>
      </c>
    </row>
    <row r="123" spans="1:31" ht="13">
      <c r="A123" s="9" t="s">
        <v>14</v>
      </c>
      <c r="B123" s="11">
        <f>(B115-B114)/($B$117-$B$116)</f>
        <v>0.92023850604534807</v>
      </c>
      <c r="C123" s="11">
        <f t="shared" ref="C123:AE123" si="19">(C115-C114)/($B$117-$B$116)</f>
        <v>0.92536845292595127</v>
      </c>
      <c r="D123" s="11">
        <f t="shared" si="19"/>
        <v>0.92945231578351994</v>
      </c>
      <c r="E123" s="11">
        <f t="shared" si="19"/>
        <v>0.93310262938429878</v>
      </c>
      <c r="F123" s="11">
        <f t="shared" si="19"/>
        <v>0.93697926102520712</v>
      </c>
      <c r="G123" s="11">
        <f t="shared" si="19"/>
        <v>0.94120173515901995</v>
      </c>
      <c r="H123" s="11">
        <f t="shared" si="19"/>
        <v>0.94536545298261521</v>
      </c>
      <c r="I123" s="11">
        <f t="shared" si="19"/>
        <v>0.95196011175337303</v>
      </c>
      <c r="J123" s="11">
        <f t="shared" si="19"/>
        <v>0.96269220588114779</v>
      </c>
      <c r="K123" s="11">
        <f t="shared" si="19"/>
        <v>0.97738184774225578</v>
      </c>
      <c r="L123" s="11">
        <f t="shared" si="19"/>
        <v>0.99110012427326211</v>
      </c>
      <c r="M123" s="11">
        <f t="shared" si="19"/>
        <v>1.0016392024913661</v>
      </c>
      <c r="N123" s="11">
        <f t="shared" si="19"/>
        <v>1.010107338060414</v>
      </c>
      <c r="O123" s="11">
        <f t="shared" si="19"/>
        <v>1.02012446514344</v>
      </c>
      <c r="P123" s="11">
        <f t="shared" si="19"/>
        <v>1.0317197517796421</v>
      </c>
      <c r="Q123" s="11">
        <f t="shared" si="19"/>
        <v>1.0416153951085128</v>
      </c>
      <c r="R123" s="11">
        <f t="shared" si="19"/>
        <v>1.0494778496391328</v>
      </c>
      <c r="S123" s="11">
        <f t="shared" si="19"/>
        <v>1.0571477075789706</v>
      </c>
      <c r="T123" s="11">
        <f t="shared" si="19"/>
        <v>1.0663534383297897</v>
      </c>
      <c r="U123" s="11">
        <f t="shared" si="19"/>
        <v>1.076971222282223</v>
      </c>
      <c r="V123" s="11">
        <f t="shared" si="19"/>
        <v>1.0862267768701139</v>
      </c>
      <c r="W123" s="11">
        <f t="shared" si="19"/>
        <v>1.0933378724020917</v>
      </c>
      <c r="X123" s="11">
        <f t="shared" si="19"/>
        <v>1.10036944947924</v>
      </c>
      <c r="Y123" s="11">
        <f t="shared" si="19"/>
        <v>1.1108219608047651</v>
      </c>
      <c r="Z123" s="11">
        <f t="shared" si="19"/>
        <v>1.1215765060527194</v>
      </c>
      <c r="AA123" s="11">
        <f t="shared" si="19"/>
        <v>1.1275648504477449</v>
      </c>
      <c r="AB123" s="11">
        <f t="shared" si="19"/>
        <v>1.1269116986443957</v>
      </c>
      <c r="AC123" s="11">
        <f t="shared" si="19"/>
        <v>1.1218588971576449</v>
      </c>
      <c r="AD123" s="11">
        <f t="shared" si="19"/>
        <v>1.1129398181466796</v>
      </c>
      <c r="AE123" s="11">
        <f t="shared" si="19"/>
        <v>1.0925145147195856</v>
      </c>
    </row>
    <row r="124" spans="1:31" ht="13">
      <c r="A124" s="9" t="s">
        <v>15</v>
      </c>
      <c r="B124" s="11">
        <f>B114-B123*$B$116</f>
        <v>0.10685606608498466</v>
      </c>
      <c r="C124" s="11">
        <f t="shared" ref="C124:AE124" si="20">C114-C123*$B$116</f>
        <v>9.6857123006373363E-2</v>
      </c>
      <c r="D124" s="11">
        <f t="shared" si="20"/>
        <v>8.6941427920474781E-2</v>
      </c>
      <c r="E124" s="11">
        <f t="shared" si="20"/>
        <v>7.5195773474316677E-2</v>
      </c>
      <c r="F124" s="11">
        <f t="shared" si="20"/>
        <v>6.1796897982602059E-2</v>
      </c>
      <c r="G124" s="11">
        <f t="shared" si="20"/>
        <v>4.9473366311327635E-2</v>
      </c>
      <c r="H124" s="11">
        <f t="shared" si="20"/>
        <v>3.6095913381807024E-2</v>
      </c>
      <c r="I124" s="11">
        <f t="shared" si="20"/>
        <v>2.4985625706784087E-2</v>
      </c>
      <c r="J124" s="11">
        <f t="shared" si="20"/>
        <v>1.6987842805411768E-2</v>
      </c>
      <c r="K124" s="11">
        <f t="shared" si="20"/>
        <v>1.1029412880446371E-2</v>
      </c>
      <c r="L124" s="11">
        <f t="shared" si="20"/>
        <v>4.3119130127066141E-3</v>
      </c>
      <c r="M124" s="11">
        <f t="shared" si="20"/>
        <v>-3.2771865782267595E-3</v>
      </c>
      <c r="N124" s="11">
        <f t="shared" si="20"/>
        <v>-1.0265291679868505E-2</v>
      </c>
      <c r="O124" s="11">
        <f t="shared" si="20"/>
        <v>-1.302804956137546E-2</v>
      </c>
      <c r="P124" s="11">
        <f t="shared" si="20"/>
        <v>-1.3938564113075619E-2</v>
      </c>
      <c r="Q124" s="11">
        <f t="shared" si="20"/>
        <v>-1.5747557929948447E-2</v>
      </c>
      <c r="R124" s="11">
        <f t="shared" si="20"/>
        <v>-2.0830525356201196E-2</v>
      </c>
      <c r="S124" s="11">
        <f t="shared" si="20"/>
        <v>-2.8900373652693906E-2</v>
      </c>
      <c r="T124" s="11">
        <f t="shared" si="20"/>
        <v>-3.9587977135825847E-2</v>
      </c>
      <c r="U124" s="11">
        <f t="shared" si="20"/>
        <v>-5.1906740434662313E-2</v>
      </c>
      <c r="V124" s="11">
        <f t="shared" si="20"/>
        <v>-6.4799361083134416E-2</v>
      </c>
      <c r="W124" s="11">
        <f t="shared" si="20"/>
        <v>-7.4299951719372925E-2</v>
      </c>
      <c r="X124" s="11">
        <f t="shared" si="20"/>
        <v>-7.9291457852646574E-2</v>
      </c>
      <c r="Y124" s="11">
        <f t="shared" si="20"/>
        <v>-7.7508199342047474E-2</v>
      </c>
      <c r="Z124" s="11">
        <f t="shared" si="20"/>
        <v>-7.2811866828110333E-2</v>
      </c>
      <c r="AA124" s="11">
        <f t="shared" si="20"/>
        <v>-6.4943378205383873E-2</v>
      </c>
      <c r="AB124" s="11">
        <f t="shared" si="20"/>
        <v>-5.5990285283618407E-2</v>
      </c>
      <c r="AC124" s="11">
        <f t="shared" si="20"/>
        <v>-4.4601081061133863E-2</v>
      </c>
      <c r="AD124" s="11">
        <f t="shared" si="20"/>
        <v>-2.8829468971334232E-2</v>
      </c>
      <c r="AE124" s="11">
        <f t="shared" si="20"/>
        <v>-9.2253229804579728E-3</v>
      </c>
    </row>
    <row r="125" spans="1:31" ht="13">
      <c r="A125" s="9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3">
      <c r="A126" s="9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39" spans="1:32" s="6" customFormat="1">
      <c r="A139" s="5" t="s">
        <v>9</v>
      </c>
    </row>
    <row r="140" spans="1:32">
      <c r="A140" s="1" t="s">
        <v>43</v>
      </c>
    </row>
    <row r="142" spans="1:32" ht="13">
      <c r="A142" s="9" t="s">
        <v>23</v>
      </c>
      <c r="B142" s="10">
        <v>1990</v>
      </c>
      <c r="C142" s="10">
        <v>1991</v>
      </c>
      <c r="D142" s="10">
        <v>1992</v>
      </c>
      <c r="E142" s="10">
        <v>1993</v>
      </c>
      <c r="F142" s="10">
        <v>1994</v>
      </c>
      <c r="G142" s="10">
        <v>1995</v>
      </c>
      <c r="H142" s="10">
        <v>1996</v>
      </c>
      <c r="I142" s="10">
        <v>1997</v>
      </c>
      <c r="J142" s="10">
        <v>1998</v>
      </c>
      <c r="K142" s="10">
        <v>1999</v>
      </c>
      <c r="L142" s="10">
        <v>2000</v>
      </c>
      <c r="M142" s="10">
        <v>2001</v>
      </c>
      <c r="N142" s="10">
        <v>2002</v>
      </c>
      <c r="O142" s="10">
        <v>2003</v>
      </c>
      <c r="P142" s="10">
        <v>2004</v>
      </c>
      <c r="Q142" s="10">
        <v>2005</v>
      </c>
      <c r="R142" s="10">
        <v>2006</v>
      </c>
      <c r="S142" s="10">
        <v>2007</v>
      </c>
      <c r="T142" s="10">
        <v>2008</v>
      </c>
      <c r="U142" s="10">
        <v>2009</v>
      </c>
      <c r="V142" s="10">
        <v>2010</v>
      </c>
      <c r="W142" s="10">
        <v>2011</v>
      </c>
      <c r="X142" s="10">
        <v>2012</v>
      </c>
      <c r="Y142" s="10">
        <v>2013</v>
      </c>
      <c r="Z142" s="10">
        <v>2014</v>
      </c>
      <c r="AA142" s="10">
        <v>2015</v>
      </c>
      <c r="AB142" s="10">
        <v>2016</v>
      </c>
      <c r="AC142" s="10">
        <v>2017</v>
      </c>
      <c r="AD142" s="10">
        <v>2018</v>
      </c>
      <c r="AE142" s="10">
        <v>2019</v>
      </c>
    </row>
    <row r="143" spans="1:32" ht="13">
      <c r="A143" s="9" t="s">
        <v>16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2" ht="13">
      <c r="A144" s="9" t="s">
        <v>17</v>
      </c>
      <c r="B144" s="11">
        <f>B$124+B$123*$B103</f>
        <v>0.6967546901602728</v>
      </c>
      <c r="C144" s="11">
        <f t="shared" ref="C144:AE144" si="21">C$124+C$123*$B103</f>
        <v>0.69004418653139921</v>
      </c>
      <c r="D144" s="11">
        <f t="shared" si="21"/>
        <v>0.6827463617745142</v>
      </c>
      <c r="E144" s="11">
        <f t="shared" si="21"/>
        <v>0.67334066045615604</v>
      </c>
      <c r="F144" s="11">
        <f t="shared" si="21"/>
        <v>0.66242681428672656</v>
      </c>
      <c r="G144" s="11">
        <f t="shared" si="21"/>
        <v>0.65281000664989164</v>
      </c>
      <c r="H144" s="11">
        <f t="shared" si="21"/>
        <v>0.64210161331637927</v>
      </c>
      <c r="I144" s="11">
        <f t="shared" si="21"/>
        <v>0.63521868638485945</v>
      </c>
      <c r="J144" s="11">
        <f t="shared" si="21"/>
        <v>0.63410047602672615</v>
      </c>
      <c r="K144" s="11">
        <f t="shared" si="21"/>
        <v>0.63755851744598346</v>
      </c>
      <c r="L144" s="11">
        <f t="shared" si="21"/>
        <v>0.63963481657400767</v>
      </c>
      <c r="M144" s="11">
        <f t="shared" si="21"/>
        <v>0.63880156092900786</v>
      </c>
      <c r="N144" s="11">
        <f t="shared" si="21"/>
        <v>0.6372417676050719</v>
      </c>
      <c r="O144" s="11">
        <f t="shared" si="21"/>
        <v>0.64090026839144898</v>
      </c>
      <c r="P144" s="11">
        <f t="shared" si="21"/>
        <v>0.64742265692685042</v>
      </c>
      <c r="Q144" s="11">
        <f t="shared" si="21"/>
        <v>0.65195704729320036</v>
      </c>
      <c r="R144" s="11">
        <f t="shared" si="21"/>
        <v>0.65191413315639202</v>
      </c>
      <c r="S144" s="11">
        <f t="shared" si="21"/>
        <v>0.64876087834717533</v>
      </c>
      <c r="T144" s="11">
        <f t="shared" si="21"/>
        <v>0.64397440578590914</v>
      </c>
      <c r="U144" s="11">
        <f t="shared" si="21"/>
        <v>0.63846193901033566</v>
      </c>
      <c r="V144" s="11">
        <f t="shared" si="21"/>
        <v>0.6315023877570074</v>
      </c>
      <c r="W144" s="11">
        <f t="shared" si="21"/>
        <v>0.62656020827442571</v>
      </c>
      <c r="X144" s="11">
        <f t="shared" si="21"/>
        <v>0.62607613974090481</v>
      </c>
      <c r="Y144" s="11">
        <f t="shared" si="21"/>
        <v>0.63455975039777113</v>
      </c>
      <c r="Z144" s="11">
        <f t="shared" si="21"/>
        <v>0.64615004725100422</v>
      </c>
      <c r="AA144" s="11">
        <f t="shared" si="21"/>
        <v>0.65785723214204406</v>
      </c>
      <c r="AB144" s="11">
        <f t="shared" si="21"/>
        <v>0.66639163648734057</v>
      </c>
      <c r="AC144" s="11">
        <f t="shared" si="21"/>
        <v>0.67454185361552388</v>
      </c>
      <c r="AD144" s="11">
        <f t="shared" si="21"/>
        <v>0.6845960865671723</v>
      </c>
      <c r="AE144" s="11">
        <f t="shared" si="21"/>
        <v>0.69110704170718751</v>
      </c>
      <c r="AF144" s="11"/>
    </row>
    <row r="145" spans="1:32" ht="13">
      <c r="A145" s="9" t="s">
        <v>18</v>
      </c>
      <c r="B145" s="11">
        <f t="shared" ref="B145:Q149" si="22">B$124+B$123*$B104</f>
        <v>-4.2428346108821208E-2</v>
      </c>
      <c r="C145" s="11">
        <f t="shared" si="22"/>
        <v>-5.3259487687740165E-2</v>
      </c>
      <c r="D145" s="11">
        <f t="shared" si="22"/>
        <v>-6.3837681747727762E-2</v>
      </c>
      <c r="E145" s="11">
        <f t="shared" si="22"/>
        <v>-7.6175503242575368E-2</v>
      </c>
      <c r="F145" s="11">
        <f t="shared" si="22"/>
        <v>-9.0203259912379277E-2</v>
      </c>
      <c r="G145" s="11">
        <f t="shared" si="22"/>
        <v>-0.10321177657931387</v>
      </c>
      <c r="H145" s="11">
        <f t="shared" si="22"/>
        <v>-0.11726468284376117</v>
      </c>
      <c r="I145" s="11">
        <f t="shared" si="22"/>
        <v>-0.12944477986901662</v>
      </c>
      <c r="J145" s="11">
        <f t="shared" si="22"/>
        <v>-0.13918356181894917</v>
      </c>
      <c r="K145" s="11">
        <f t="shared" si="22"/>
        <v>-0.14752499847115641</v>
      </c>
      <c r="L145" s="11">
        <f t="shared" si="22"/>
        <v>-0.1564679266759956</v>
      </c>
      <c r="M145" s="11">
        <f t="shared" si="22"/>
        <v>-0.16576671357790165</v>
      </c>
      <c r="N145" s="11">
        <f t="shared" si="22"/>
        <v>-0.1741285501985986</v>
      </c>
      <c r="O145" s="11">
        <f t="shared" si="22"/>
        <v>-0.17851632259388261</v>
      </c>
      <c r="P145" s="11">
        <f t="shared" si="22"/>
        <v>-0.18130786639868687</v>
      </c>
      <c r="Q145" s="11">
        <f t="shared" si="22"/>
        <v>-0.18472216719622328</v>
      </c>
      <c r="R145" s="11">
        <f t="shared" ref="R145:AE145" si="23">R$124+R$123*$B104</f>
        <v>-0.19108061037717813</v>
      </c>
      <c r="S145" s="11">
        <f t="shared" si="23"/>
        <v>-0.20039469071420909</v>
      </c>
      <c r="T145" s="11">
        <f t="shared" si="23"/>
        <v>-0.21257568106924701</v>
      </c>
      <c r="U145" s="11">
        <f t="shared" si="23"/>
        <v>-0.22661689960737957</v>
      </c>
      <c r="V145" s="11">
        <f t="shared" si="23"/>
        <v>-0.24101098973045426</v>
      </c>
      <c r="W145" s="11">
        <f t="shared" si="23"/>
        <v>-0.25166516795248872</v>
      </c>
      <c r="X145" s="11">
        <f t="shared" si="23"/>
        <v>-0.25779736190078167</v>
      </c>
      <c r="Y145" s="11">
        <f t="shared" si="23"/>
        <v>-0.25770974750736453</v>
      </c>
      <c r="Z145" s="11">
        <f t="shared" si="23"/>
        <v>-0.25475805614374397</v>
      </c>
      <c r="AA145" s="11">
        <f t="shared" si="23"/>
        <v>-0.24786101836463326</v>
      </c>
      <c r="AB145" s="11">
        <f t="shared" si="23"/>
        <v>-0.23880196879967608</v>
      </c>
      <c r="AC145" s="11">
        <f t="shared" si="23"/>
        <v>-0.22659308088114286</v>
      </c>
      <c r="AD145" s="11">
        <f t="shared" si="23"/>
        <v>-0.20937458359939012</v>
      </c>
      <c r="AE145" s="11">
        <f t="shared" si="23"/>
        <v>-0.18645697115828078</v>
      </c>
      <c r="AF145" s="11"/>
    </row>
    <row r="146" spans="1:32" ht="13">
      <c r="A146" s="9" t="s">
        <v>19</v>
      </c>
      <c r="B146" s="11">
        <f t="shared" si="22"/>
        <v>-0.77989805938851542</v>
      </c>
      <c r="C146" s="11">
        <f t="shared" si="22"/>
        <v>-0.79484028785450278</v>
      </c>
      <c r="D146" s="11">
        <f t="shared" si="22"/>
        <v>-0.80869124777992607</v>
      </c>
      <c r="E146" s="11">
        <f t="shared" si="22"/>
        <v>-0.82395439320640962</v>
      </c>
      <c r="F146" s="11">
        <f t="shared" si="22"/>
        <v>-0.84108884276716589</v>
      </c>
      <c r="G146" s="11">
        <f t="shared" si="22"/>
        <v>-0.85748120695660401</v>
      </c>
      <c r="H146" s="11">
        <f t="shared" si="22"/>
        <v>-0.87487087403835284</v>
      </c>
      <c r="I146" s="11">
        <f t="shared" si="22"/>
        <v>-0.89233586305725909</v>
      </c>
      <c r="J146" s="11">
        <f t="shared" si="22"/>
        <v>-0.91067523531862415</v>
      </c>
      <c r="K146" s="11">
        <f t="shared" si="22"/>
        <v>-0.93078880050090929</v>
      </c>
      <c r="L146" s="11">
        <f t="shared" si="22"/>
        <v>-0.9507254150094101</v>
      </c>
      <c r="M146" s="11">
        <f t="shared" si="22"/>
        <v>-0.96847011124968763</v>
      </c>
      <c r="N146" s="11">
        <f t="shared" si="22"/>
        <v>-0.98361822498125751</v>
      </c>
      <c r="O146" s="11">
        <f t="shared" si="22"/>
        <v>-0.99603362042130184</v>
      </c>
      <c r="P146" s="11">
        <f t="shared" si="22"/>
        <v>-1.0081175081726159</v>
      </c>
      <c r="Q146" s="11">
        <f t="shared" si="22"/>
        <v>-1.0194620761786197</v>
      </c>
      <c r="R146" s="11">
        <f t="shared" ref="R146:AE146" si="24">R$124+R$123*$B105</f>
        <v>-1.0321214098898879</v>
      </c>
      <c r="S146" s="11">
        <f t="shared" si="24"/>
        <v>-1.0475820358220338</v>
      </c>
      <c r="T146" s="11">
        <f t="shared" si="24"/>
        <v>-1.0671404045118598</v>
      </c>
      <c r="U146" s="11">
        <f t="shared" si="24"/>
        <v>-1.0896906063577185</v>
      </c>
      <c r="V146" s="11">
        <f t="shared" si="24"/>
        <v>-1.1115020031282941</v>
      </c>
      <c r="W146" s="11">
        <f t="shared" si="24"/>
        <v>-1.1278549404748612</v>
      </c>
      <c r="X146" s="11">
        <f t="shared" si="24"/>
        <v>-1.1396221682724472</v>
      </c>
      <c r="Y146" s="11">
        <f t="shared" si="24"/>
        <v>-1.1479110893963431</v>
      </c>
      <c r="Z146" s="11">
        <f t="shared" si="24"/>
        <v>-1.1535779804419133</v>
      </c>
      <c r="AA146" s="11">
        <f t="shared" si="24"/>
        <v>-1.1514799405258651</v>
      </c>
      <c r="AB146" s="11">
        <f t="shared" si="24"/>
        <v>-1.141897461795556</v>
      </c>
      <c r="AC146" s="11">
        <f t="shared" si="24"/>
        <v>-1.1256393105184324</v>
      </c>
      <c r="AD146" s="11">
        <f t="shared" si="24"/>
        <v>-1.1012731546702044</v>
      </c>
      <c r="AE146" s="11">
        <f t="shared" si="24"/>
        <v>-1.0619869132670643</v>
      </c>
      <c r="AF146" s="11"/>
    </row>
    <row r="147" spans="1:32" ht="13">
      <c r="A147" s="9" t="s">
        <v>20</v>
      </c>
      <c r="B147" s="11">
        <f t="shared" si="22"/>
        <v>-1.6747471328237236</v>
      </c>
      <c r="C147" s="11">
        <f t="shared" si="22"/>
        <v>-1.6946777726447271</v>
      </c>
      <c r="D147" s="11">
        <f t="shared" si="22"/>
        <v>-1.7124999214196981</v>
      </c>
      <c r="E147" s="11">
        <f t="shared" si="22"/>
        <v>-1.7313126680875404</v>
      </c>
      <c r="F147" s="11">
        <f t="shared" si="22"/>
        <v>-1.7522167928022132</v>
      </c>
      <c r="G147" s="11">
        <f t="shared" si="22"/>
        <v>-1.7727151328244648</v>
      </c>
      <c r="H147" s="11">
        <f t="shared" si="22"/>
        <v>-1.7941536405187433</v>
      </c>
      <c r="I147" s="11">
        <f t="shared" si="22"/>
        <v>-1.8180313412986409</v>
      </c>
      <c r="J147" s="11">
        <f t="shared" si="22"/>
        <v>-1.8468067086016928</v>
      </c>
      <c r="K147" s="11">
        <f t="shared" si="22"/>
        <v>-1.8812046275924237</v>
      </c>
      <c r="L147" s="11">
        <f t="shared" si="22"/>
        <v>-1.9144810306038567</v>
      </c>
      <c r="M147" s="11">
        <f t="shared" si="22"/>
        <v>-1.9424740312960529</v>
      </c>
      <c r="N147" s="11">
        <f t="shared" si="22"/>
        <v>-1.9658566442557093</v>
      </c>
      <c r="O147" s="11">
        <f t="shared" si="22"/>
        <v>-1.9880127936740348</v>
      </c>
      <c r="P147" s="11">
        <f t="shared" si="22"/>
        <v>-2.0113720534451653</v>
      </c>
      <c r="Q147" s="11">
        <f t="shared" si="22"/>
        <v>-2.0323392434189667</v>
      </c>
      <c r="R147" s="11">
        <f t="shared" ref="R147:AE147" si="25">R$124+R$123*$B106</f>
        <v>-2.0526441060941196</v>
      </c>
      <c r="S147" s="11">
        <f t="shared" si="25"/>
        <v>-2.0755629781502383</v>
      </c>
      <c r="T147" s="11">
        <f t="shared" si="25"/>
        <v>-2.1040730909569954</v>
      </c>
      <c r="U147" s="11">
        <f t="shared" si="25"/>
        <v>-2.1369481314934244</v>
      </c>
      <c r="V147" s="11">
        <f t="shared" si="25"/>
        <v>-2.1677597215755102</v>
      </c>
      <c r="W147" s="11">
        <f t="shared" si="25"/>
        <v>-2.1910275589247359</v>
      </c>
      <c r="X147" s="11">
        <f t="shared" si="25"/>
        <v>-2.2096323621888327</v>
      </c>
      <c r="Y147" s="11">
        <f t="shared" si="25"/>
        <v>-2.2280854092575484</v>
      </c>
      <c r="Z147" s="11">
        <f t="shared" si="25"/>
        <v>-2.2442101270373045</v>
      </c>
      <c r="AA147" s="11">
        <f t="shared" si="25"/>
        <v>-2.2479352127545535</v>
      </c>
      <c r="AB147" s="11">
        <f t="shared" si="25"/>
        <v>-2.2377176027162191</v>
      </c>
      <c r="AC147" s="11">
        <f t="shared" si="25"/>
        <v>-2.2165460570321374</v>
      </c>
      <c r="AD147" s="11">
        <f t="shared" si="25"/>
        <v>-2.183506900069061</v>
      </c>
      <c r="AE147" s="11">
        <f t="shared" si="25"/>
        <v>-2.1243588905196233</v>
      </c>
      <c r="AF147" s="11"/>
    </row>
    <row r="148" spans="1:32" ht="13">
      <c r="A148" s="9" t="s">
        <v>21</v>
      </c>
      <c r="B148" s="11">
        <f t="shared" si="22"/>
        <v>-2.9239349475191037</v>
      </c>
      <c r="C148" s="11">
        <f t="shared" si="22"/>
        <v>-2.9508292897837518</v>
      </c>
      <c r="D148" s="11">
        <f t="shared" si="22"/>
        <v>-2.9741951228156283</v>
      </c>
      <c r="E148" s="11">
        <f t="shared" si="22"/>
        <v>-2.9979630275647233</v>
      </c>
      <c r="F148" s="11">
        <f t="shared" si="22"/>
        <v>-3.024129528257006</v>
      </c>
      <c r="G148" s="11">
        <f t="shared" si="22"/>
        <v>-3.0503597119275883</v>
      </c>
      <c r="H148" s="11">
        <f t="shared" si="22"/>
        <v>-3.0774503038749126</v>
      </c>
      <c r="I148" s="11">
        <f t="shared" si="22"/>
        <v>-3.1102799962574075</v>
      </c>
      <c r="J148" s="11">
        <f t="shared" si="22"/>
        <v>-3.1536237619946794</v>
      </c>
      <c r="K148" s="11">
        <f t="shared" si="22"/>
        <v>-3.2079622958310048</v>
      </c>
      <c r="L148" s="11">
        <f t="shared" si="22"/>
        <v>-3.2598607232074017</v>
      </c>
      <c r="M148" s="11">
        <f t="shared" si="22"/>
        <v>-3.3021601107783147</v>
      </c>
      <c r="N148" s="11">
        <f t="shared" si="22"/>
        <v>-3.3370378868902968</v>
      </c>
      <c r="O148" s="11">
        <f t="shared" si="22"/>
        <v>-3.37279189491611</v>
      </c>
      <c r="P148" s="11">
        <f t="shared" si="22"/>
        <v>-3.4118913032233968</v>
      </c>
      <c r="Q148" s="11">
        <f t="shared" si="22"/>
        <v>-3.4462914423552586</v>
      </c>
      <c r="R148" s="11">
        <f t="shared" ref="R148:AE148" si="26">R$124+R$123*$B107</f>
        <v>-3.4772692798393607</v>
      </c>
      <c r="S148" s="11">
        <f t="shared" si="26"/>
        <v>-3.5105996843579321</v>
      </c>
      <c r="T148" s="11">
        <f t="shared" si="26"/>
        <v>-3.5516062169555846</v>
      </c>
      <c r="U148" s="11">
        <f t="shared" si="26"/>
        <v>-3.598894484329747</v>
      </c>
      <c r="V148" s="11">
        <f t="shared" si="26"/>
        <v>-3.6422701281147445</v>
      </c>
      <c r="W148" s="11">
        <f t="shared" si="26"/>
        <v>-3.6751909997907513</v>
      </c>
      <c r="X148" s="11">
        <f t="shared" si="26"/>
        <v>-3.7033408941862906</v>
      </c>
      <c r="Y148" s="11">
        <f t="shared" si="26"/>
        <v>-3.7359828169595488</v>
      </c>
      <c r="Z148" s="11">
        <f t="shared" si="26"/>
        <v>-3.7667064096919169</v>
      </c>
      <c r="AA148" s="11">
        <f t="shared" si="26"/>
        <v>-3.7785604389377432</v>
      </c>
      <c r="AB148" s="11">
        <f t="shared" si="26"/>
        <v>-3.7674562008475183</v>
      </c>
      <c r="AC148" s="11">
        <f t="shared" si="26"/>
        <v>-3.7394256745775785</v>
      </c>
      <c r="AD148" s="11">
        <f t="shared" si="26"/>
        <v>-3.6942792163598703</v>
      </c>
      <c r="AE148" s="11">
        <f t="shared" si="26"/>
        <v>-3.607404655503391</v>
      </c>
      <c r="AF148" s="11"/>
    </row>
    <row r="149" spans="1:32" ht="13">
      <c r="A149" s="9" t="s">
        <v>22</v>
      </c>
      <c r="B149" s="11">
        <f t="shared" si="22"/>
        <v>-4.7613802338574462</v>
      </c>
      <c r="C149" s="11">
        <f t="shared" si="22"/>
        <v>-4.7985175692733355</v>
      </c>
      <c r="D149" s="11">
        <f t="shared" si="22"/>
        <v>-4.830037673734191</v>
      </c>
      <c r="E149" s="11">
        <f t="shared" si="22"/>
        <v>-4.8610941797267087</v>
      </c>
      <c r="F149" s="11">
        <f t="shared" si="22"/>
        <v>-4.8950011721378912</v>
      </c>
      <c r="G149" s="11">
        <f t="shared" si="22"/>
        <v>-4.929662393135092</v>
      </c>
      <c r="H149" s="11">
        <f t="shared" si="22"/>
        <v>-4.9650667033612637</v>
      </c>
      <c r="I149" s="11">
        <f t="shared" si="22"/>
        <v>-5.0110639871819949</v>
      </c>
      <c r="J149" s="11">
        <f t="shared" si="22"/>
        <v>-5.0758365842907809</v>
      </c>
      <c r="K149" s="11">
        <f t="shared" si="22"/>
        <v>-5.1595060068243042</v>
      </c>
      <c r="L149" s="11">
        <f t="shared" si="22"/>
        <v>-5.2387957924007686</v>
      </c>
      <c r="M149" s="11">
        <f t="shared" si="22"/>
        <v>-5.3021386154147656</v>
      </c>
      <c r="N149" s="11">
        <f t="shared" si="22"/>
        <v>-5.3539247643922643</v>
      </c>
      <c r="O149" s="11">
        <f t="shared" si="22"/>
        <v>-5.4096800251590196</v>
      </c>
      <c r="P149" s="11">
        <f t="shared" si="22"/>
        <v>-5.4719318060669604</v>
      </c>
      <c r="Q149" s="11">
        <f t="shared" si="22"/>
        <v>-5.5260906306596791</v>
      </c>
      <c r="R149" s="11">
        <f t="shared" ref="R149:AE149" si="27">R$124+R$123*$B108</f>
        <v>-5.5727674743486197</v>
      </c>
      <c r="S149" s="11">
        <f t="shared" si="27"/>
        <v>-5.6214123263999323</v>
      </c>
      <c r="T149" s="11">
        <f t="shared" si="27"/>
        <v>-5.6807999922193222</v>
      </c>
      <c r="U149" s="11">
        <f t="shared" si="27"/>
        <v>-5.7492888472091881</v>
      </c>
      <c r="V149" s="11">
        <f t="shared" si="27"/>
        <v>-5.8111451077454355</v>
      </c>
      <c r="W149" s="11">
        <f t="shared" si="27"/>
        <v>-5.8582647429812118</v>
      </c>
      <c r="X149" s="11">
        <f t="shared" si="27"/>
        <v>-5.9004546260004123</v>
      </c>
      <c r="Y149" s="11">
        <f t="shared" si="27"/>
        <v>-5.9539671356262245</v>
      </c>
      <c r="Z149" s="11">
        <f t="shared" si="27"/>
        <v>-6.0061643880052502</v>
      </c>
      <c r="AA149" s="11">
        <f t="shared" si="27"/>
        <v>-6.0299753774405556</v>
      </c>
      <c r="AB149" s="11">
        <f t="shared" si="27"/>
        <v>-6.017566987552244</v>
      </c>
      <c r="AC149" s="11">
        <f t="shared" si="27"/>
        <v>-5.9794475047632689</v>
      </c>
      <c r="AD149" s="11">
        <f t="shared" si="27"/>
        <v>-5.9164922724293758</v>
      </c>
      <c r="AE149" s="11">
        <f t="shared" si="27"/>
        <v>-5.7888343958807198</v>
      </c>
      <c r="AF149" s="11"/>
    </row>
    <row r="151" spans="1:32" s="6" customFormat="1">
      <c r="A151" s="5" t="s">
        <v>10</v>
      </c>
    </row>
    <row r="152" spans="1:32">
      <c r="A152" s="1" t="s">
        <v>13</v>
      </c>
    </row>
    <row r="154" spans="1:32" ht="13">
      <c r="A154" s="9" t="s">
        <v>23</v>
      </c>
      <c r="B154" s="10">
        <v>1990</v>
      </c>
      <c r="C154" s="10">
        <v>1991</v>
      </c>
      <c r="D154" s="10">
        <v>1992</v>
      </c>
      <c r="E154" s="10">
        <v>1993</v>
      </c>
      <c r="F154" s="10">
        <v>1994</v>
      </c>
      <c r="G154" s="10">
        <v>1995</v>
      </c>
      <c r="H154" s="10">
        <v>1996</v>
      </c>
      <c r="I154" s="10">
        <v>1997</v>
      </c>
      <c r="J154" s="10">
        <v>1998</v>
      </c>
      <c r="K154" s="10">
        <v>1999</v>
      </c>
      <c r="L154" s="10">
        <v>2000</v>
      </c>
      <c r="M154" s="10">
        <v>2001</v>
      </c>
      <c r="N154" s="10">
        <v>2002</v>
      </c>
      <c r="O154" s="10">
        <v>2003</v>
      </c>
      <c r="P154" s="10">
        <v>2004</v>
      </c>
      <c r="Q154" s="10">
        <v>2005</v>
      </c>
      <c r="R154" s="10">
        <v>2006</v>
      </c>
      <c r="S154" s="10">
        <v>2007</v>
      </c>
      <c r="T154" s="10">
        <v>2008</v>
      </c>
      <c r="U154" s="10">
        <v>2009</v>
      </c>
      <c r="V154" s="10">
        <v>2010</v>
      </c>
      <c r="W154" s="10">
        <v>2011</v>
      </c>
      <c r="X154" s="10">
        <v>2012</v>
      </c>
      <c r="Y154" s="10">
        <v>2013</v>
      </c>
      <c r="Z154" s="10">
        <v>2014</v>
      </c>
      <c r="AA154" s="10">
        <v>2015</v>
      </c>
      <c r="AB154" s="10">
        <v>2016</v>
      </c>
      <c r="AC154" s="10">
        <v>2017</v>
      </c>
      <c r="AD154" s="10">
        <v>2018</v>
      </c>
      <c r="AE154" s="10">
        <v>2019</v>
      </c>
    </row>
    <row r="155" spans="1:32" ht="13">
      <c r="A155" s="9" t="s">
        <v>16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2" ht="13">
      <c r="A156" s="9" t="s">
        <v>17</v>
      </c>
      <c r="B156" s="11">
        <f>EXP(-EXP(B144))</f>
        <v>0.13436059995209054</v>
      </c>
      <c r="C156" s="11">
        <f t="shared" ref="C156:AE156" si="28">EXP(-EXP(C144))</f>
        <v>0.13617647412263878</v>
      </c>
      <c r="D156" s="11">
        <f t="shared" si="28"/>
        <v>0.13816506776764903</v>
      </c>
      <c r="E156" s="11">
        <f t="shared" si="28"/>
        <v>0.14074906136644563</v>
      </c>
      <c r="F156" s="11">
        <f t="shared" si="28"/>
        <v>0.14377676603942724</v>
      </c>
      <c r="G156" s="11">
        <f t="shared" si="28"/>
        <v>0.14647052266373067</v>
      </c>
      <c r="H156" s="11">
        <f t="shared" si="28"/>
        <v>0.14949822787827327</v>
      </c>
      <c r="I156" s="11">
        <f t="shared" si="28"/>
        <v>0.15145982773887606</v>
      </c>
      <c r="J156" s="11">
        <f t="shared" si="28"/>
        <v>0.15177964969141991</v>
      </c>
      <c r="K156" s="11">
        <f t="shared" si="28"/>
        <v>0.15079163405536034</v>
      </c>
      <c r="L156" s="11">
        <f t="shared" si="28"/>
        <v>0.1501998644131757</v>
      </c>
      <c r="M156" s="11">
        <f t="shared" si="28"/>
        <v>0.15043722011801938</v>
      </c>
      <c r="N156" s="11">
        <f t="shared" si="28"/>
        <v>0.15088200797730536</v>
      </c>
      <c r="O156" s="11">
        <f t="shared" si="28"/>
        <v>0.14983973493134492</v>
      </c>
      <c r="P156" s="11">
        <f t="shared" si="28"/>
        <v>0.14799005848933494</v>
      </c>
      <c r="Q156" s="11">
        <f t="shared" si="28"/>
        <v>0.14671060534647332</v>
      </c>
      <c r="R156" s="11">
        <f t="shared" si="28"/>
        <v>0.14672268937675431</v>
      </c>
      <c r="S156" s="11">
        <f t="shared" si="28"/>
        <v>0.14761190529758847</v>
      </c>
      <c r="T156" s="11">
        <f t="shared" si="28"/>
        <v>0.1489665846830098</v>
      </c>
      <c r="U156" s="11">
        <f t="shared" si="28"/>
        <v>0.15053401333758254</v>
      </c>
      <c r="V156" s="11">
        <f t="shared" si="28"/>
        <v>0.1525239572556315</v>
      </c>
      <c r="W156" s="11">
        <f t="shared" si="28"/>
        <v>0.15394450705518395</v>
      </c>
      <c r="X156" s="11">
        <f t="shared" si="28"/>
        <v>0.15408397494629189</v>
      </c>
      <c r="Y156" s="11">
        <f t="shared" si="28"/>
        <v>0.15164825319795777</v>
      </c>
      <c r="Z156" s="11">
        <f t="shared" si="28"/>
        <v>0.14835009893599788</v>
      </c>
      <c r="AA156" s="11">
        <f t="shared" si="28"/>
        <v>0.14505374324550421</v>
      </c>
      <c r="AB156" s="11">
        <f t="shared" si="28"/>
        <v>0.14267322135165467</v>
      </c>
      <c r="AC156" s="11">
        <f t="shared" si="28"/>
        <v>0.14041775048093935</v>
      </c>
      <c r="AD156" s="11">
        <f t="shared" si="28"/>
        <v>0.13765968018402067</v>
      </c>
      <c r="AE156" s="11">
        <f t="shared" si="28"/>
        <v>0.13588805167991258</v>
      </c>
      <c r="AF156" s="11"/>
    </row>
    <row r="157" spans="1:32" ht="13">
      <c r="A157" s="9" t="s">
        <v>18</v>
      </c>
      <c r="B157" s="11">
        <f t="shared" ref="B157:Q161" si="29">EXP(-EXP(B145))</f>
        <v>0.38348332493399517</v>
      </c>
      <c r="C157" s="11">
        <f t="shared" si="29"/>
        <v>0.38746337473367948</v>
      </c>
      <c r="D157" s="11">
        <f t="shared" si="29"/>
        <v>0.39134832170336425</v>
      </c>
      <c r="E157" s="11">
        <f t="shared" si="29"/>
        <v>0.39587627176659068</v>
      </c>
      <c r="F157" s="11">
        <f t="shared" si="29"/>
        <v>0.40101941412260828</v>
      </c>
      <c r="G157" s="11">
        <f t="shared" si="29"/>
        <v>0.40578332490263397</v>
      </c>
      <c r="H157" s="11">
        <f t="shared" si="29"/>
        <v>0.41092286176009596</v>
      </c>
      <c r="I157" s="11">
        <f t="shared" si="29"/>
        <v>0.41537103308659873</v>
      </c>
      <c r="J157" s="11">
        <f t="shared" si="29"/>
        <v>0.41892293479560389</v>
      </c>
      <c r="K157" s="11">
        <f t="shared" si="29"/>
        <v>0.42196164050742957</v>
      </c>
      <c r="L157" s="11">
        <f t="shared" si="29"/>
        <v>0.4252155997947269</v>
      </c>
      <c r="M157" s="11">
        <f t="shared" si="29"/>
        <v>0.42859457152261499</v>
      </c>
      <c r="N157" s="11">
        <f t="shared" si="29"/>
        <v>0.43162898780348208</v>
      </c>
      <c r="O157" s="11">
        <f t="shared" si="29"/>
        <v>0.43321965087807651</v>
      </c>
      <c r="P157" s="11">
        <f t="shared" si="29"/>
        <v>0.43423105418715791</v>
      </c>
      <c r="Q157" s="11">
        <f t="shared" si="29"/>
        <v>0.43546745139074755</v>
      </c>
      <c r="R157" s="11">
        <f t="shared" ref="R157:AE157" si="30">EXP(-EXP(R145))</f>
        <v>0.43776808463171601</v>
      </c>
      <c r="S157" s="11">
        <f t="shared" si="30"/>
        <v>0.44113352507512044</v>
      </c>
      <c r="T157" s="11">
        <f t="shared" si="30"/>
        <v>0.44552624345991854</v>
      </c>
      <c r="U157" s="11">
        <f t="shared" si="30"/>
        <v>0.45057706934283548</v>
      </c>
      <c r="V157" s="11">
        <f t="shared" si="30"/>
        <v>0.45573991672265157</v>
      </c>
      <c r="W157" s="11">
        <f t="shared" si="30"/>
        <v>0.45955114937629854</v>
      </c>
      <c r="X157" s="11">
        <f t="shared" si="30"/>
        <v>0.461740698002926</v>
      </c>
      <c r="Y157" s="11">
        <f t="shared" si="30"/>
        <v>0.46170943591609814</v>
      </c>
      <c r="Z157" s="11">
        <f t="shared" si="30"/>
        <v>0.46065586710512774</v>
      </c>
      <c r="AA157" s="11">
        <f t="shared" si="30"/>
        <v>0.45819134122284338</v>
      </c>
      <c r="AB157" s="11">
        <f t="shared" si="30"/>
        <v>0.45494860132736797</v>
      </c>
      <c r="AC157" s="11">
        <f t="shared" si="30"/>
        <v>0.45056851335421039</v>
      </c>
      <c r="AD157" s="11">
        <f t="shared" si="30"/>
        <v>0.4443728319937042</v>
      </c>
      <c r="AE157" s="11">
        <f t="shared" si="30"/>
        <v>0.43609539200034697</v>
      </c>
      <c r="AF157" s="11"/>
    </row>
    <row r="158" spans="1:32" ht="13">
      <c r="A158" s="9" t="s">
        <v>19</v>
      </c>
      <c r="B158" s="11">
        <f t="shared" si="29"/>
        <v>0.63226115903013358</v>
      </c>
      <c r="C158" s="11">
        <f t="shared" si="29"/>
        <v>0.63657479142170781</v>
      </c>
      <c r="D158" s="11">
        <f t="shared" si="29"/>
        <v>0.64054195495073807</v>
      </c>
      <c r="E158" s="11">
        <f t="shared" si="29"/>
        <v>0.64487843449976723</v>
      </c>
      <c r="F158" s="11">
        <f t="shared" si="29"/>
        <v>0.64970249922334022</v>
      </c>
      <c r="G158" s="11">
        <f t="shared" si="29"/>
        <v>0.65427385051638964</v>
      </c>
      <c r="H158" s="11">
        <f t="shared" si="29"/>
        <v>0.65907637831908716</v>
      </c>
      <c r="I158" s="11">
        <f t="shared" si="29"/>
        <v>0.66385094402211065</v>
      </c>
      <c r="J158" s="11">
        <f t="shared" si="29"/>
        <v>0.66881183786966802</v>
      </c>
      <c r="K158" s="11">
        <f t="shared" si="29"/>
        <v>0.67419047177424585</v>
      </c>
      <c r="L158" s="11">
        <f t="shared" si="29"/>
        <v>0.67945751079876437</v>
      </c>
      <c r="M158" s="11">
        <f t="shared" si="29"/>
        <v>0.68409161050682166</v>
      </c>
      <c r="N158" s="11">
        <f t="shared" si="29"/>
        <v>0.68800746377333111</v>
      </c>
      <c r="O158" s="11">
        <f t="shared" si="29"/>
        <v>0.69118933709041908</v>
      </c>
      <c r="P158" s="11">
        <f t="shared" si="29"/>
        <v>0.69426241900155594</v>
      </c>
      <c r="Q158" s="11">
        <f t="shared" si="29"/>
        <v>0.69712610097773886</v>
      </c>
      <c r="R158" s="11">
        <f t="shared" ref="R158:AE158" si="31">EXP(-EXP(R146))</f>
        <v>0.70029724018106321</v>
      </c>
      <c r="S158" s="11">
        <f t="shared" si="31"/>
        <v>0.70413519011780712</v>
      </c>
      <c r="T158" s="11">
        <f t="shared" si="31"/>
        <v>0.70893545958026327</v>
      </c>
      <c r="U158" s="11">
        <f t="shared" si="31"/>
        <v>0.71439408220195766</v>
      </c>
      <c r="V158" s="11">
        <f t="shared" si="31"/>
        <v>0.71959672069125324</v>
      </c>
      <c r="W158" s="11">
        <f t="shared" si="31"/>
        <v>0.72344777040158015</v>
      </c>
      <c r="X158" s="11">
        <f t="shared" si="31"/>
        <v>0.72619269270811071</v>
      </c>
      <c r="Y158" s="11">
        <f t="shared" si="31"/>
        <v>0.7281130993549475</v>
      </c>
      <c r="Z158" s="11">
        <f t="shared" si="31"/>
        <v>0.72941978672298891</v>
      </c>
      <c r="AA158" s="11">
        <f t="shared" si="31"/>
        <v>0.72893660497979607</v>
      </c>
      <c r="AB158" s="11">
        <f t="shared" si="31"/>
        <v>0.72672092094085616</v>
      </c>
      <c r="AC158" s="11">
        <f t="shared" si="31"/>
        <v>0.72292848211498439</v>
      </c>
      <c r="AD158" s="11">
        <f t="shared" si="31"/>
        <v>0.71716627823753354</v>
      </c>
      <c r="AE158" s="11">
        <f t="shared" si="31"/>
        <v>0.70767656688098401</v>
      </c>
      <c r="AF158" s="11"/>
    </row>
    <row r="159" spans="1:32" ht="13">
      <c r="A159" s="9" t="s">
        <v>20</v>
      </c>
      <c r="B159" s="11">
        <f t="shared" si="29"/>
        <v>0.82914888044985391</v>
      </c>
      <c r="C159" s="11">
        <f t="shared" si="29"/>
        <v>0.83222004226286828</v>
      </c>
      <c r="D159" s="11">
        <f t="shared" si="29"/>
        <v>0.83492430824587105</v>
      </c>
      <c r="E159" s="11">
        <f t="shared" si="29"/>
        <v>0.83773634923456375</v>
      </c>
      <c r="F159" s="11">
        <f t="shared" si="29"/>
        <v>0.84081035042433883</v>
      </c>
      <c r="G159" s="11">
        <f t="shared" si="29"/>
        <v>0.84377353874613181</v>
      </c>
      <c r="H159" s="11">
        <f t="shared" si="29"/>
        <v>0.84681915848483746</v>
      </c>
      <c r="I159" s="11">
        <f t="shared" si="29"/>
        <v>0.8501478201836099</v>
      </c>
      <c r="J159" s="11">
        <f t="shared" si="29"/>
        <v>0.85407174947785403</v>
      </c>
      <c r="K159" s="11">
        <f t="shared" si="29"/>
        <v>0.85863925696271082</v>
      </c>
      <c r="L159" s="11">
        <f t="shared" si="29"/>
        <v>0.86293292124208987</v>
      </c>
      <c r="M159" s="11">
        <f t="shared" si="29"/>
        <v>0.86645174482062137</v>
      </c>
      <c r="N159" s="11">
        <f t="shared" si="29"/>
        <v>0.86932704834710028</v>
      </c>
      <c r="O159" s="11">
        <f t="shared" si="29"/>
        <v>0.87199870728730933</v>
      </c>
      <c r="P159" s="11">
        <f t="shared" si="29"/>
        <v>0.87476066031691968</v>
      </c>
      <c r="Q159" s="11">
        <f t="shared" si="29"/>
        <v>0.87719263855581509</v>
      </c>
      <c r="R159" s="11">
        <f t="shared" ref="R159:AE159" si="32">EXP(-EXP(R147))</f>
        <v>0.87950593694777246</v>
      </c>
      <c r="S159" s="11">
        <f t="shared" si="32"/>
        <v>0.882068323348697</v>
      </c>
      <c r="T159" s="11">
        <f t="shared" si="32"/>
        <v>0.88518495555205801</v>
      </c>
      <c r="U159" s="11">
        <f t="shared" si="32"/>
        <v>0.88868320340457818</v>
      </c>
      <c r="V159" s="11">
        <f t="shared" si="32"/>
        <v>0.89187107348826344</v>
      </c>
      <c r="W159" s="11">
        <f t="shared" si="32"/>
        <v>0.89422146870656805</v>
      </c>
      <c r="X159" s="11">
        <f t="shared" si="32"/>
        <v>0.89606619889941419</v>
      </c>
      <c r="Y159" s="11">
        <f t="shared" si="32"/>
        <v>0.89786594794592434</v>
      </c>
      <c r="Z159" s="11">
        <f t="shared" si="32"/>
        <v>0.89941453614748434</v>
      </c>
      <c r="AA159" s="11">
        <f t="shared" si="32"/>
        <v>0.89976912497898676</v>
      </c>
      <c r="AB159" s="11">
        <f t="shared" si="32"/>
        <v>0.89879368702198137</v>
      </c>
      <c r="AC159" s="11">
        <f t="shared" si="32"/>
        <v>0.89674396981805471</v>
      </c>
      <c r="AD159" s="11">
        <f t="shared" si="32"/>
        <v>0.89346707047991414</v>
      </c>
      <c r="AE159" s="11">
        <f t="shared" si="32"/>
        <v>0.88735552250789973</v>
      </c>
      <c r="AF159" s="11"/>
    </row>
    <row r="160" spans="1:32" ht="13">
      <c r="A160" s="9" t="s">
        <v>21</v>
      </c>
      <c r="B160" s="11">
        <f t="shared" si="29"/>
        <v>0.9476956447904733</v>
      </c>
      <c r="C160" s="11">
        <f t="shared" si="29"/>
        <v>0.94904760418659373</v>
      </c>
      <c r="D160" s="11">
        <f t="shared" si="29"/>
        <v>0.95019453899852002</v>
      </c>
      <c r="E160" s="11">
        <f t="shared" si="29"/>
        <v>0.95133541009614353</v>
      </c>
      <c r="F160" s="11">
        <f t="shared" si="29"/>
        <v>0.95256197556948996</v>
      </c>
      <c r="G160" s="11">
        <f t="shared" si="29"/>
        <v>0.9537612586071138</v>
      </c>
      <c r="H160" s="11">
        <f t="shared" si="29"/>
        <v>0.95496881994743887</v>
      </c>
      <c r="I160" s="11">
        <f t="shared" si="29"/>
        <v>0.95639098540832024</v>
      </c>
      <c r="J160" s="11">
        <f t="shared" si="29"/>
        <v>0.95820156431525971</v>
      </c>
      <c r="K160" s="11">
        <f t="shared" si="29"/>
        <v>0.96036781050707642</v>
      </c>
      <c r="L160" s="11">
        <f t="shared" si="29"/>
        <v>0.9623339520989147</v>
      </c>
      <c r="M160" s="11">
        <f t="shared" si="29"/>
        <v>0.96386543760477739</v>
      </c>
      <c r="N160" s="11">
        <f t="shared" si="29"/>
        <v>0.96508212116004777</v>
      </c>
      <c r="O160" s="11">
        <f t="shared" si="29"/>
        <v>0.96628760726616958</v>
      </c>
      <c r="P160" s="11">
        <f t="shared" si="29"/>
        <v>0.96755910209765905</v>
      </c>
      <c r="Q160" s="11">
        <f t="shared" si="29"/>
        <v>0.96863870945554476</v>
      </c>
      <c r="R160" s="11">
        <f t="shared" ref="R160:AE160" si="33">EXP(-EXP(R148))</f>
        <v>0.96958061910020177</v>
      </c>
      <c r="S160" s="11">
        <f t="shared" si="33"/>
        <v>0.97056297320080442</v>
      </c>
      <c r="T160" s="11">
        <f t="shared" si="33"/>
        <v>0.97172878747790314</v>
      </c>
      <c r="U160" s="11">
        <f t="shared" si="33"/>
        <v>0.97301678521433943</v>
      </c>
      <c r="V160" s="11">
        <f t="shared" si="33"/>
        <v>0.97414724093283123</v>
      </c>
      <c r="W160" s="11">
        <f t="shared" si="33"/>
        <v>0.97497391298609826</v>
      </c>
      <c r="X160" s="11">
        <f t="shared" si="33"/>
        <v>0.97566004713291932</v>
      </c>
      <c r="Y160" s="11">
        <f t="shared" si="33"/>
        <v>0.97643243735317398</v>
      </c>
      <c r="Z160" s="11">
        <f t="shared" si="33"/>
        <v>0.97713729224479107</v>
      </c>
      <c r="AA160" s="11">
        <f t="shared" si="33"/>
        <v>0.97740364023884119</v>
      </c>
      <c r="AB160" s="11">
        <f t="shared" si="33"/>
        <v>0.97715423082684316</v>
      </c>
      <c r="AC160" s="11">
        <f t="shared" si="33"/>
        <v>0.97651247880291059</v>
      </c>
      <c r="AD160" s="11">
        <f t="shared" si="33"/>
        <v>0.9754412270784435</v>
      </c>
      <c r="AE160" s="11">
        <f t="shared" si="33"/>
        <v>0.97324235571222484</v>
      </c>
      <c r="AF160" s="11"/>
    </row>
    <row r="161" spans="1:32" ht="13">
      <c r="A161" s="9" t="s">
        <v>22</v>
      </c>
      <c r="B161" s="11">
        <f t="shared" si="29"/>
        <v>0.99148268460878486</v>
      </c>
      <c r="C161" s="11">
        <f t="shared" si="29"/>
        <v>0.99179191567364711</v>
      </c>
      <c r="D161" s="11">
        <f t="shared" si="29"/>
        <v>0.99204558474458993</v>
      </c>
      <c r="E161" s="11">
        <f t="shared" si="29"/>
        <v>0.99228788404660162</v>
      </c>
      <c r="F161" s="11">
        <f t="shared" si="29"/>
        <v>0.99254403420109627</v>
      </c>
      <c r="G161" s="11">
        <f t="shared" si="29"/>
        <v>0.99279712255343111</v>
      </c>
      <c r="H161" s="11">
        <f t="shared" si="29"/>
        <v>0.99304680086029806</v>
      </c>
      <c r="I161" s="11">
        <f t="shared" si="29"/>
        <v>0.99335834461490236</v>
      </c>
      <c r="J161" s="11">
        <f t="shared" si="29"/>
        <v>0.99377360576599838</v>
      </c>
      <c r="K161" s="11">
        <f t="shared" si="29"/>
        <v>0.99427193155506999</v>
      </c>
      <c r="L161" s="11">
        <f t="shared" si="29"/>
        <v>0.99470741206828872</v>
      </c>
      <c r="M161" s="11">
        <f t="shared" si="29"/>
        <v>0.99503145404858084</v>
      </c>
      <c r="N161" s="11">
        <f t="shared" si="29"/>
        <v>0.99528161457292208</v>
      </c>
      <c r="O161" s="11">
        <f t="shared" si="29"/>
        <v>0.99553691803075628</v>
      </c>
      <c r="P161" s="11">
        <f t="shared" si="29"/>
        <v>0.99580571595525935</v>
      </c>
      <c r="Q161" s="11">
        <f t="shared" si="29"/>
        <v>0.99602639180619801</v>
      </c>
      <c r="R161" s="11">
        <f t="shared" ref="R161:AE161" si="34">EXP(-EXP(R149))</f>
        <v>0.99620726106785074</v>
      </c>
      <c r="S161" s="11">
        <f t="shared" si="34"/>
        <v>0.99638701704061206</v>
      </c>
      <c r="T161" s="11">
        <f t="shared" si="34"/>
        <v>0.99659498155321491</v>
      </c>
      <c r="U161" s="11">
        <f t="shared" si="34"/>
        <v>0.99682002183015972</v>
      </c>
      <c r="V161" s="11">
        <f t="shared" si="34"/>
        <v>0.9970104778908585</v>
      </c>
      <c r="W161" s="11">
        <f t="shared" si="34"/>
        <v>0.99714787942758232</v>
      </c>
      <c r="X161" s="11">
        <f t="shared" si="34"/>
        <v>0.99726554577038007</v>
      </c>
      <c r="Y161" s="11">
        <f t="shared" si="34"/>
        <v>0.99740784218405876</v>
      </c>
      <c r="Z161" s="11">
        <f t="shared" si="34"/>
        <v>0.99753951278735242</v>
      </c>
      <c r="AA161" s="11">
        <f t="shared" si="34"/>
        <v>0.99759733781571724</v>
      </c>
      <c r="AB161" s="11">
        <f t="shared" si="34"/>
        <v>0.99756737542990115</v>
      </c>
      <c r="AC161" s="11">
        <f t="shared" si="34"/>
        <v>0.99747297447554673</v>
      </c>
      <c r="AD161" s="11">
        <f t="shared" si="34"/>
        <v>0.99730899160536146</v>
      </c>
      <c r="AE161" s="11">
        <f t="shared" si="34"/>
        <v>0.99694313310985017</v>
      </c>
      <c r="AF161" s="11"/>
    </row>
    <row r="162" spans="1:32">
      <c r="B162" s="2"/>
    </row>
    <row r="163" spans="1:32" s="6" customFormat="1">
      <c r="A163" s="5" t="s">
        <v>11</v>
      </c>
    </row>
    <row r="164" spans="1:32">
      <c r="A164" s="1" t="s">
        <v>44</v>
      </c>
    </row>
    <row r="166" spans="1:32" ht="13">
      <c r="A166" s="9" t="s">
        <v>23</v>
      </c>
      <c r="B166" s="10">
        <v>1990</v>
      </c>
      <c r="C166" s="10">
        <v>1991</v>
      </c>
      <c r="D166" s="10">
        <v>1992</v>
      </c>
      <c r="E166" s="10">
        <v>1993</v>
      </c>
      <c r="F166" s="10">
        <v>1994</v>
      </c>
      <c r="G166" s="10">
        <v>1995</v>
      </c>
      <c r="H166" s="10">
        <v>1996</v>
      </c>
      <c r="I166" s="10">
        <v>1997</v>
      </c>
      <c r="J166" s="10">
        <v>1998</v>
      </c>
      <c r="K166" s="10">
        <v>1999</v>
      </c>
      <c r="L166" s="10">
        <v>2000</v>
      </c>
      <c r="M166" s="10">
        <v>2001</v>
      </c>
      <c r="N166" s="10">
        <v>2002</v>
      </c>
      <c r="O166" s="10">
        <v>2003</v>
      </c>
      <c r="P166" s="10">
        <v>2004</v>
      </c>
      <c r="Q166" s="10">
        <v>2005</v>
      </c>
      <c r="R166" s="10">
        <v>2006</v>
      </c>
      <c r="S166" s="10">
        <v>2007</v>
      </c>
      <c r="T166" s="10">
        <v>2008</v>
      </c>
      <c r="U166" s="10">
        <v>2009</v>
      </c>
      <c r="V166" s="10">
        <v>2010</v>
      </c>
      <c r="W166" s="10">
        <v>2011</v>
      </c>
      <c r="X166" s="10">
        <v>2012</v>
      </c>
      <c r="Y166" s="10">
        <v>2013</v>
      </c>
      <c r="Z166" s="10">
        <v>2014</v>
      </c>
      <c r="AA166" s="10">
        <v>2015</v>
      </c>
      <c r="AB166" s="10">
        <v>2016</v>
      </c>
      <c r="AC166" s="10">
        <v>2017</v>
      </c>
      <c r="AD166" s="10">
        <v>2018</v>
      </c>
      <c r="AE166" s="10">
        <v>2019</v>
      </c>
    </row>
    <row r="167" spans="1:32" ht="13">
      <c r="A167" s="9" t="s">
        <v>16</v>
      </c>
      <c r="B167" s="11">
        <f>B156</f>
        <v>0.13436059995209054</v>
      </c>
      <c r="C167" s="11">
        <f t="shared" ref="C167:AE167" si="35">C156</f>
        <v>0.13617647412263878</v>
      </c>
      <c r="D167" s="11">
        <f t="shared" si="35"/>
        <v>0.13816506776764903</v>
      </c>
      <c r="E167" s="11">
        <f t="shared" si="35"/>
        <v>0.14074906136644563</v>
      </c>
      <c r="F167" s="11">
        <f t="shared" si="35"/>
        <v>0.14377676603942724</v>
      </c>
      <c r="G167" s="11">
        <f t="shared" si="35"/>
        <v>0.14647052266373067</v>
      </c>
      <c r="H167" s="11">
        <f t="shared" si="35"/>
        <v>0.14949822787827327</v>
      </c>
      <c r="I167" s="11">
        <f t="shared" si="35"/>
        <v>0.15145982773887606</v>
      </c>
      <c r="J167" s="11">
        <f t="shared" si="35"/>
        <v>0.15177964969141991</v>
      </c>
      <c r="K167" s="11">
        <f t="shared" si="35"/>
        <v>0.15079163405536034</v>
      </c>
      <c r="L167" s="11">
        <f t="shared" si="35"/>
        <v>0.1501998644131757</v>
      </c>
      <c r="M167" s="11">
        <f t="shared" si="35"/>
        <v>0.15043722011801938</v>
      </c>
      <c r="N167" s="11">
        <f t="shared" si="35"/>
        <v>0.15088200797730536</v>
      </c>
      <c r="O167" s="11">
        <f t="shared" si="35"/>
        <v>0.14983973493134492</v>
      </c>
      <c r="P167" s="11">
        <f t="shared" si="35"/>
        <v>0.14799005848933494</v>
      </c>
      <c r="Q167" s="11">
        <f t="shared" si="35"/>
        <v>0.14671060534647332</v>
      </c>
      <c r="R167" s="11">
        <f t="shared" si="35"/>
        <v>0.14672268937675431</v>
      </c>
      <c r="S167" s="11">
        <f t="shared" si="35"/>
        <v>0.14761190529758847</v>
      </c>
      <c r="T167" s="11">
        <f t="shared" si="35"/>
        <v>0.1489665846830098</v>
      </c>
      <c r="U167" s="11">
        <f t="shared" si="35"/>
        <v>0.15053401333758254</v>
      </c>
      <c r="V167" s="11">
        <f t="shared" si="35"/>
        <v>0.1525239572556315</v>
      </c>
      <c r="W167" s="11">
        <f t="shared" si="35"/>
        <v>0.15394450705518395</v>
      </c>
      <c r="X167" s="11">
        <f t="shared" si="35"/>
        <v>0.15408397494629189</v>
      </c>
      <c r="Y167" s="11">
        <f t="shared" si="35"/>
        <v>0.15164825319795777</v>
      </c>
      <c r="Z167" s="11">
        <f t="shared" si="35"/>
        <v>0.14835009893599788</v>
      </c>
      <c r="AA167" s="11">
        <f t="shared" si="35"/>
        <v>0.14505374324550421</v>
      </c>
      <c r="AB167" s="11">
        <f t="shared" si="35"/>
        <v>0.14267322135165467</v>
      </c>
      <c r="AC167" s="11">
        <f t="shared" si="35"/>
        <v>0.14041775048093935</v>
      </c>
      <c r="AD167" s="11">
        <f t="shared" si="35"/>
        <v>0.13765968018402067</v>
      </c>
      <c r="AE167" s="11">
        <f t="shared" si="35"/>
        <v>0.13588805167991258</v>
      </c>
    </row>
    <row r="168" spans="1:32" ht="13">
      <c r="A168" s="9" t="s">
        <v>17</v>
      </c>
      <c r="B168" s="11">
        <f>B157-B156</f>
        <v>0.24912272498190463</v>
      </c>
      <c r="C168" s="11">
        <f t="shared" ref="C168:AE172" si="36">C157-C156</f>
        <v>0.2512869006110407</v>
      </c>
      <c r="D168" s="11">
        <f t="shared" si="36"/>
        <v>0.25318325393571522</v>
      </c>
      <c r="E168" s="11">
        <f t="shared" si="36"/>
        <v>0.25512721040014508</v>
      </c>
      <c r="F168" s="11">
        <f t="shared" si="36"/>
        <v>0.25724264808318104</v>
      </c>
      <c r="G168" s="11">
        <f t="shared" si="36"/>
        <v>0.25931280223890329</v>
      </c>
      <c r="H168" s="11">
        <f t="shared" si="36"/>
        <v>0.26142463388182269</v>
      </c>
      <c r="I168" s="11">
        <f t="shared" si="36"/>
        <v>0.26391120534772267</v>
      </c>
      <c r="J168" s="11">
        <f t="shared" si="36"/>
        <v>0.26714328510418395</v>
      </c>
      <c r="K168" s="11">
        <f t="shared" si="36"/>
        <v>0.27117000645206923</v>
      </c>
      <c r="L168" s="11">
        <f t="shared" si="36"/>
        <v>0.27501573538155122</v>
      </c>
      <c r="M168" s="11">
        <f t="shared" si="36"/>
        <v>0.27815735140459563</v>
      </c>
      <c r="N168" s="11">
        <f t="shared" si="36"/>
        <v>0.28074697982617669</v>
      </c>
      <c r="O168" s="11">
        <f t="shared" si="36"/>
        <v>0.28337991594673162</v>
      </c>
      <c r="P168" s="11">
        <f t="shared" si="36"/>
        <v>0.28624099569782296</v>
      </c>
      <c r="Q168" s="11">
        <f t="shared" si="36"/>
        <v>0.28875684604427421</v>
      </c>
      <c r="R168" s="11">
        <f t="shared" si="36"/>
        <v>0.2910453952549617</v>
      </c>
      <c r="S168" s="11">
        <f t="shared" si="36"/>
        <v>0.29352161977753199</v>
      </c>
      <c r="T168" s="11">
        <f t="shared" si="36"/>
        <v>0.29655965877690871</v>
      </c>
      <c r="U168" s="11">
        <f t="shared" si="36"/>
        <v>0.30004305600525294</v>
      </c>
      <c r="V168" s="11">
        <f t="shared" si="36"/>
        <v>0.30321595946702007</v>
      </c>
      <c r="W168" s="11">
        <f t="shared" si="36"/>
        <v>0.30560664232111456</v>
      </c>
      <c r="X168" s="11">
        <f t="shared" si="36"/>
        <v>0.30765672305663411</v>
      </c>
      <c r="Y168" s="11">
        <f t="shared" si="36"/>
        <v>0.31006118271814037</v>
      </c>
      <c r="Z168" s="11">
        <f t="shared" si="36"/>
        <v>0.31230576816912986</v>
      </c>
      <c r="AA168" s="11">
        <f t="shared" si="36"/>
        <v>0.3131375979773392</v>
      </c>
      <c r="AB168" s="11">
        <f t="shared" si="36"/>
        <v>0.31227537997571331</v>
      </c>
      <c r="AC168" s="11">
        <f t="shared" si="36"/>
        <v>0.31015076287327104</v>
      </c>
      <c r="AD168" s="11">
        <f t="shared" si="36"/>
        <v>0.3067131518096835</v>
      </c>
      <c r="AE168" s="11">
        <f t="shared" si="36"/>
        <v>0.30020734032043439</v>
      </c>
      <c r="AF168" s="11"/>
    </row>
    <row r="169" spans="1:32" ht="13">
      <c r="A169" s="9" t="s">
        <v>18</v>
      </c>
      <c r="B169" s="11">
        <f t="shared" ref="B169:Q172" si="37">B158-B157</f>
        <v>0.24877783409613841</v>
      </c>
      <c r="C169" s="11">
        <f t="shared" si="37"/>
        <v>0.24911141668802833</v>
      </c>
      <c r="D169" s="11">
        <f t="shared" si="37"/>
        <v>0.24919363324737381</v>
      </c>
      <c r="E169" s="11">
        <f t="shared" si="37"/>
        <v>0.24900216273317655</v>
      </c>
      <c r="F169" s="11">
        <f t="shared" si="37"/>
        <v>0.24868308510073195</v>
      </c>
      <c r="G169" s="11">
        <f t="shared" si="37"/>
        <v>0.24849052561375568</v>
      </c>
      <c r="H169" s="11">
        <f t="shared" si="37"/>
        <v>0.24815351655899121</v>
      </c>
      <c r="I169" s="11">
        <f t="shared" si="37"/>
        <v>0.24847991093551192</v>
      </c>
      <c r="J169" s="11">
        <f t="shared" si="37"/>
        <v>0.24988890307406414</v>
      </c>
      <c r="K169" s="11">
        <f t="shared" si="37"/>
        <v>0.25222883126681628</v>
      </c>
      <c r="L169" s="11">
        <f t="shared" si="37"/>
        <v>0.25424191100403748</v>
      </c>
      <c r="M169" s="11">
        <f t="shared" si="37"/>
        <v>0.25549703898420667</v>
      </c>
      <c r="N169" s="11">
        <f t="shared" si="37"/>
        <v>0.25637847596984903</v>
      </c>
      <c r="O169" s="11">
        <f t="shared" si="37"/>
        <v>0.25796968621234256</v>
      </c>
      <c r="P169" s="11">
        <f t="shared" si="37"/>
        <v>0.26003136481439804</v>
      </c>
      <c r="Q169" s="11">
        <f t="shared" si="37"/>
        <v>0.26165864958699131</v>
      </c>
      <c r="R169" s="11">
        <f t="shared" si="36"/>
        <v>0.26252915554934719</v>
      </c>
      <c r="S169" s="11">
        <f t="shared" si="36"/>
        <v>0.26300166504268668</v>
      </c>
      <c r="T169" s="11">
        <f t="shared" si="36"/>
        <v>0.26340921612034474</v>
      </c>
      <c r="U169" s="11">
        <f t="shared" si="36"/>
        <v>0.26381701285912218</v>
      </c>
      <c r="V169" s="11">
        <f t="shared" si="36"/>
        <v>0.26385680396860167</v>
      </c>
      <c r="W169" s="11">
        <f t="shared" si="36"/>
        <v>0.26389662102528161</v>
      </c>
      <c r="X169" s="11">
        <f t="shared" si="36"/>
        <v>0.26445199470518471</v>
      </c>
      <c r="Y169" s="11">
        <f t="shared" si="36"/>
        <v>0.26640366343884936</v>
      </c>
      <c r="Z169" s="11">
        <f t="shared" si="36"/>
        <v>0.26876391961786117</v>
      </c>
      <c r="AA169" s="11">
        <f t="shared" si="36"/>
        <v>0.27074526375695268</v>
      </c>
      <c r="AB169" s="11">
        <f t="shared" si="36"/>
        <v>0.27177231961348819</v>
      </c>
      <c r="AC169" s="11">
        <f t="shared" si="36"/>
        <v>0.27235996876077401</v>
      </c>
      <c r="AD169" s="11">
        <f t="shared" si="36"/>
        <v>0.27279344624382934</v>
      </c>
      <c r="AE169" s="11">
        <f t="shared" si="36"/>
        <v>0.27158117488063704</v>
      </c>
      <c r="AF169" s="11"/>
    </row>
    <row r="170" spans="1:32" ht="13">
      <c r="A170" s="9" t="s">
        <v>19</v>
      </c>
      <c r="B170" s="11">
        <f t="shared" si="37"/>
        <v>0.19688772141972033</v>
      </c>
      <c r="C170" s="11">
        <f t="shared" si="36"/>
        <v>0.19564525084116047</v>
      </c>
      <c r="D170" s="11">
        <f t="shared" si="36"/>
        <v>0.19438235329513298</v>
      </c>
      <c r="E170" s="11">
        <f t="shared" si="36"/>
        <v>0.19285791473479652</v>
      </c>
      <c r="F170" s="11">
        <f t="shared" si="36"/>
        <v>0.1911078512009986</v>
      </c>
      <c r="G170" s="11">
        <f t="shared" si="36"/>
        <v>0.18949968822974217</v>
      </c>
      <c r="H170" s="11">
        <f t="shared" si="36"/>
        <v>0.1877427801657503</v>
      </c>
      <c r="I170" s="11">
        <f t="shared" si="36"/>
        <v>0.18629687616149926</v>
      </c>
      <c r="J170" s="11">
        <f t="shared" si="36"/>
        <v>0.185259911608186</v>
      </c>
      <c r="K170" s="11">
        <f t="shared" si="36"/>
        <v>0.18444878518846497</v>
      </c>
      <c r="L170" s="11">
        <f t="shared" si="36"/>
        <v>0.18347541044332549</v>
      </c>
      <c r="M170" s="11">
        <f t="shared" si="36"/>
        <v>0.18236013431379972</v>
      </c>
      <c r="N170" s="11">
        <f t="shared" si="36"/>
        <v>0.18131958457376918</v>
      </c>
      <c r="O170" s="11">
        <f t="shared" si="36"/>
        <v>0.18080937019689025</v>
      </c>
      <c r="P170" s="11">
        <f t="shared" si="36"/>
        <v>0.18049824131536374</v>
      </c>
      <c r="Q170" s="11">
        <f t="shared" si="36"/>
        <v>0.18006653757807622</v>
      </c>
      <c r="R170" s="11">
        <f t="shared" si="36"/>
        <v>0.17920869676670925</v>
      </c>
      <c r="S170" s="11">
        <f t="shared" si="36"/>
        <v>0.17793313323088988</v>
      </c>
      <c r="T170" s="11">
        <f t="shared" si="36"/>
        <v>0.17624949597179473</v>
      </c>
      <c r="U170" s="11">
        <f t="shared" si="36"/>
        <v>0.17428912120262052</v>
      </c>
      <c r="V170" s="11">
        <f t="shared" si="36"/>
        <v>0.1722743527970102</v>
      </c>
      <c r="W170" s="11">
        <f t="shared" si="36"/>
        <v>0.1707736983049879</v>
      </c>
      <c r="X170" s="11">
        <f t="shared" si="36"/>
        <v>0.16987350619130348</v>
      </c>
      <c r="Y170" s="11">
        <f t="shared" si="36"/>
        <v>0.16975284859097683</v>
      </c>
      <c r="Z170" s="11">
        <f t="shared" si="36"/>
        <v>0.16999474942449544</v>
      </c>
      <c r="AA170" s="11">
        <f t="shared" si="36"/>
        <v>0.17083251999919069</v>
      </c>
      <c r="AB170" s="11">
        <f t="shared" si="36"/>
        <v>0.17207276608112521</v>
      </c>
      <c r="AC170" s="11">
        <f t="shared" si="36"/>
        <v>0.17381548770307031</v>
      </c>
      <c r="AD170" s="11">
        <f t="shared" si="36"/>
        <v>0.1763007922423806</v>
      </c>
      <c r="AE170" s="11">
        <f t="shared" si="36"/>
        <v>0.17967895562691572</v>
      </c>
      <c r="AF170" s="11"/>
    </row>
    <row r="171" spans="1:32" ht="13">
      <c r="A171" s="9" t="s">
        <v>20</v>
      </c>
      <c r="B171" s="11">
        <f t="shared" si="37"/>
        <v>0.11854676434061939</v>
      </c>
      <c r="C171" s="11">
        <f t="shared" si="36"/>
        <v>0.11682756192372545</v>
      </c>
      <c r="D171" s="11">
        <f t="shared" si="36"/>
        <v>0.11527023075264897</v>
      </c>
      <c r="E171" s="11">
        <f t="shared" si="36"/>
        <v>0.11359906086157978</v>
      </c>
      <c r="F171" s="11">
        <f t="shared" si="36"/>
        <v>0.11175162514515113</v>
      </c>
      <c r="G171" s="11">
        <f t="shared" si="36"/>
        <v>0.10998771986098199</v>
      </c>
      <c r="H171" s="11">
        <f t="shared" si="36"/>
        <v>0.10814966146260141</v>
      </c>
      <c r="I171" s="11">
        <f t="shared" si="36"/>
        <v>0.10624316522471033</v>
      </c>
      <c r="J171" s="11">
        <f t="shared" si="36"/>
        <v>0.10412981483740569</v>
      </c>
      <c r="K171" s="11">
        <f t="shared" si="36"/>
        <v>0.10172855354436561</v>
      </c>
      <c r="L171" s="11">
        <f t="shared" si="36"/>
        <v>9.9401030856824835E-2</v>
      </c>
      <c r="M171" s="11">
        <f t="shared" si="36"/>
        <v>9.7413692784156014E-2</v>
      </c>
      <c r="N171" s="11">
        <f t="shared" si="36"/>
        <v>9.5755072812947484E-2</v>
      </c>
      <c r="O171" s="11">
        <f t="shared" si="36"/>
        <v>9.4288899978860252E-2</v>
      </c>
      <c r="P171" s="11">
        <f t="shared" si="36"/>
        <v>9.2798441780739371E-2</v>
      </c>
      <c r="Q171" s="11">
        <f t="shared" si="36"/>
        <v>9.144607089972967E-2</v>
      </c>
      <c r="R171" s="11">
        <f t="shared" si="36"/>
        <v>9.0074682152429308E-2</v>
      </c>
      <c r="S171" s="11">
        <f t="shared" si="36"/>
        <v>8.8494649852107421E-2</v>
      </c>
      <c r="T171" s="11">
        <f t="shared" si="36"/>
        <v>8.6543831925845138E-2</v>
      </c>
      <c r="U171" s="11">
        <f t="shared" si="36"/>
        <v>8.4333581809761249E-2</v>
      </c>
      <c r="V171" s="11">
        <f t="shared" si="36"/>
        <v>8.2276167444567783E-2</v>
      </c>
      <c r="W171" s="11">
        <f t="shared" si="36"/>
        <v>8.0752444279530211E-2</v>
      </c>
      <c r="X171" s="11">
        <f t="shared" si="36"/>
        <v>7.9593848233505127E-2</v>
      </c>
      <c r="Y171" s="11">
        <f t="shared" si="36"/>
        <v>7.856648940724964E-2</v>
      </c>
      <c r="Z171" s="11">
        <f t="shared" si="36"/>
        <v>7.7722756097306722E-2</v>
      </c>
      <c r="AA171" s="11">
        <f t="shared" si="36"/>
        <v>7.7634515259854431E-2</v>
      </c>
      <c r="AB171" s="11">
        <f t="shared" si="36"/>
        <v>7.8360543804861793E-2</v>
      </c>
      <c r="AC171" s="11">
        <f t="shared" si="36"/>
        <v>7.9768508984855879E-2</v>
      </c>
      <c r="AD171" s="11">
        <f t="shared" si="36"/>
        <v>8.1974156598529357E-2</v>
      </c>
      <c r="AE171" s="11">
        <f t="shared" si="36"/>
        <v>8.5886833204325108E-2</v>
      </c>
      <c r="AF171" s="11"/>
    </row>
    <row r="172" spans="1:32" ht="13">
      <c r="A172" s="9" t="s">
        <v>21</v>
      </c>
      <c r="B172" s="11">
        <f t="shared" si="37"/>
        <v>4.3787039818311557E-2</v>
      </c>
      <c r="C172" s="11">
        <f t="shared" si="36"/>
        <v>4.2744311487053377E-2</v>
      </c>
      <c r="D172" s="11">
        <f t="shared" si="36"/>
        <v>4.1851045746069904E-2</v>
      </c>
      <c r="E172" s="11">
        <f t="shared" si="36"/>
        <v>4.095247395045809E-2</v>
      </c>
      <c r="F172" s="11">
        <f t="shared" si="36"/>
        <v>3.998205863160631E-2</v>
      </c>
      <c r="G172" s="11">
        <f t="shared" si="36"/>
        <v>3.9035863946317306E-2</v>
      </c>
      <c r="H172" s="11">
        <f t="shared" si="36"/>
        <v>3.8077980912859188E-2</v>
      </c>
      <c r="I172" s="11">
        <f t="shared" si="36"/>
        <v>3.6967359206582118E-2</v>
      </c>
      <c r="J172" s="11">
        <f t="shared" si="36"/>
        <v>3.5572041450738667E-2</v>
      </c>
      <c r="K172" s="11">
        <f t="shared" si="36"/>
        <v>3.3904121047993563E-2</v>
      </c>
      <c r="L172" s="11">
        <f t="shared" si="36"/>
        <v>3.2373459969374019E-2</v>
      </c>
      <c r="M172" s="11">
        <f t="shared" si="36"/>
        <v>3.1166016443803457E-2</v>
      </c>
      <c r="N172" s="11">
        <f t="shared" si="36"/>
        <v>3.0199493412874312E-2</v>
      </c>
      <c r="O172" s="11">
        <f t="shared" si="36"/>
        <v>2.92493107645867E-2</v>
      </c>
      <c r="P172" s="11">
        <f t="shared" si="36"/>
        <v>2.82466138576003E-2</v>
      </c>
      <c r="Q172" s="11">
        <f t="shared" si="36"/>
        <v>2.7387682350653253E-2</v>
      </c>
      <c r="R172" s="11">
        <f t="shared" si="36"/>
        <v>2.6626641967648967E-2</v>
      </c>
      <c r="S172" s="11">
        <f t="shared" si="36"/>
        <v>2.5824043839807631E-2</v>
      </c>
      <c r="T172" s="11">
        <f t="shared" si="36"/>
        <v>2.4866194075311765E-2</v>
      </c>
      <c r="U172" s="11">
        <f t="shared" si="36"/>
        <v>2.3803236615820289E-2</v>
      </c>
      <c r="V172" s="11">
        <f t="shared" si="36"/>
        <v>2.2863236958027278E-2</v>
      </c>
      <c r="W172" s="11">
        <f t="shared" si="36"/>
        <v>2.2173966441484061E-2</v>
      </c>
      <c r="X172" s="11">
        <f t="shared" si="36"/>
        <v>2.1605498637460752E-2</v>
      </c>
      <c r="Y172" s="11">
        <f t="shared" si="36"/>
        <v>2.0975404830884781E-2</v>
      </c>
      <c r="Z172" s="11">
        <f t="shared" si="36"/>
        <v>2.0402220542561356E-2</v>
      </c>
      <c r="AA172" s="11">
        <f t="shared" si="36"/>
        <v>2.0193697576876057E-2</v>
      </c>
      <c r="AB172" s="11">
        <f t="shared" si="36"/>
        <v>2.0413144603057987E-2</v>
      </c>
      <c r="AC172" s="11">
        <f t="shared" si="36"/>
        <v>2.0960495672636137E-2</v>
      </c>
      <c r="AD172" s="11">
        <f t="shared" si="36"/>
        <v>2.1867764526917965E-2</v>
      </c>
      <c r="AE172" s="11">
        <f t="shared" si="36"/>
        <v>2.3700777397625328E-2</v>
      </c>
      <c r="AF172" s="11"/>
    </row>
    <row r="173" spans="1:32" s="16" customFormat="1" ht="13">
      <c r="A173" s="14" t="s">
        <v>22</v>
      </c>
      <c r="B173" s="15">
        <f>1-B161</f>
        <v>8.5173153912151411E-3</v>
      </c>
      <c r="C173" s="15">
        <f t="shared" ref="C173:AE173" si="38">1-C161</f>
        <v>8.2080843263528935E-3</v>
      </c>
      <c r="D173" s="15">
        <f t="shared" si="38"/>
        <v>7.9544152554100744E-3</v>
      </c>
      <c r="E173" s="15">
        <f t="shared" si="38"/>
        <v>7.7121159533983796E-3</v>
      </c>
      <c r="F173" s="15">
        <f t="shared" si="38"/>
        <v>7.4559657989037298E-3</v>
      </c>
      <c r="G173" s="15">
        <f t="shared" si="38"/>
        <v>7.2028774465688894E-3</v>
      </c>
      <c r="H173" s="15">
        <f t="shared" si="38"/>
        <v>6.9531991397019377E-3</v>
      </c>
      <c r="I173" s="15">
        <f t="shared" si="38"/>
        <v>6.6416553850976445E-3</v>
      </c>
      <c r="J173" s="15">
        <f t="shared" si="38"/>
        <v>6.2263942340016198E-3</v>
      </c>
      <c r="K173" s="15">
        <f t="shared" si="38"/>
        <v>5.7280684449300123E-3</v>
      </c>
      <c r="L173" s="15">
        <f t="shared" si="38"/>
        <v>5.2925879317112789E-3</v>
      </c>
      <c r="M173" s="15">
        <f t="shared" si="38"/>
        <v>4.9685459514191566E-3</v>
      </c>
      <c r="N173" s="15">
        <f t="shared" si="38"/>
        <v>4.7183854270779202E-3</v>
      </c>
      <c r="O173" s="15">
        <f t="shared" si="38"/>
        <v>4.4630819692437207E-3</v>
      </c>
      <c r="P173" s="15">
        <f t="shared" si="38"/>
        <v>4.1942840447406482E-3</v>
      </c>
      <c r="Q173" s="15">
        <f t="shared" si="38"/>
        <v>3.9736081938019918E-3</v>
      </c>
      <c r="R173" s="15">
        <f t="shared" si="38"/>
        <v>3.7927389321492644E-3</v>
      </c>
      <c r="S173" s="15">
        <f t="shared" si="38"/>
        <v>3.6129829593879448E-3</v>
      </c>
      <c r="T173" s="15">
        <f t="shared" si="38"/>
        <v>3.4050184467850908E-3</v>
      </c>
      <c r="U173" s="15">
        <f t="shared" si="38"/>
        <v>3.1799781698402807E-3</v>
      </c>
      <c r="V173" s="15">
        <f t="shared" si="38"/>
        <v>2.9895221091414959E-3</v>
      </c>
      <c r="W173" s="15">
        <f t="shared" si="38"/>
        <v>2.8521205724176824E-3</v>
      </c>
      <c r="X173" s="15">
        <f t="shared" si="38"/>
        <v>2.7344542296199315E-3</v>
      </c>
      <c r="Y173" s="15">
        <f t="shared" si="38"/>
        <v>2.5921578159412428E-3</v>
      </c>
      <c r="Z173" s="15">
        <f t="shared" si="38"/>
        <v>2.4604872126475774E-3</v>
      </c>
      <c r="AA173" s="15">
        <f t="shared" si="38"/>
        <v>2.4026621842827556E-3</v>
      </c>
      <c r="AB173" s="15">
        <f t="shared" si="38"/>
        <v>2.4326245700988514E-3</v>
      </c>
      <c r="AC173" s="15">
        <f t="shared" si="38"/>
        <v>2.5270255244532747E-3</v>
      </c>
      <c r="AD173" s="15">
        <f t="shared" si="38"/>
        <v>2.6910083946385388E-3</v>
      </c>
      <c r="AE173" s="15">
        <f t="shared" si="38"/>
        <v>3.0568668901498341E-3</v>
      </c>
      <c r="AF173" s="15"/>
    </row>
    <row r="175" spans="1:32" s="6" customFormat="1">
      <c r="A175" s="5" t="s">
        <v>46</v>
      </c>
    </row>
    <row r="176" spans="1:32">
      <c r="A176" s="1" t="s">
        <v>45</v>
      </c>
    </row>
    <row r="178" spans="1:32" ht="13">
      <c r="A178" s="9" t="s">
        <v>23</v>
      </c>
      <c r="B178" s="10">
        <v>1990</v>
      </c>
      <c r="C178" s="10">
        <v>1991</v>
      </c>
      <c r="D178" s="10">
        <v>1992</v>
      </c>
      <c r="E178" s="10">
        <v>1993</v>
      </c>
      <c r="F178" s="10">
        <v>1994</v>
      </c>
      <c r="G178" s="10">
        <v>1995</v>
      </c>
      <c r="H178" s="10">
        <v>1996</v>
      </c>
      <c r="I178" s="10">
        <v>1997</v>
      </c>
      <c r="J178" s="10">
        <v>1998</v>
      </c>
      <c r="K178" s="10">
        <v>1999</v>
      </c>
      <c r="L178" s="10">
        <v>2000</v>
      </c>
      <c r="M178" s="10">
        <v>2001</v>
      </c>
      <c r="N178" s="10">
        <v>2002</v>
      </c>
      <c r="O178" s="10">
        <v>2003</v>
      </c>
      <c r="P178" s="10">
        <v>2004</v>
      </c>
      <c r="Q178" s="10">
        <v>2005</v>
      </c>
      <c r="R178" s="10">
        <v>2006</v>
      </c>
      <c r="S178" s="10">
        <v>2007</v>
      </c>
      <c r="T178" s="10">
        <v>2008</v>
      </c>
      <c r="U178" s="10">
        <v>2009</v>
      </c>
      <c r="V178" s="10">
        <v>2010</v>
      </c>
      <c r="W178" s="10">
        <v>2011</v>
      </c>
      <c r="X178" s="10">
        <v>2012</v>
      </c>
      <c r="Y178" s="10">
        <v>2013</v>
      </c>
      <c r="Z178" s="10">
        <v>2014</v>
      </c>
      <c r="AA178" s="10">
        <v>2015</v>
      </c>
      <c r="AB178" s="10">
        <v>2016</v>
      </c>
      <c r="AC178" s="10">
        <v>2017</v>
      </c>
      <c r="AD178" s="10">
        <v>2018</v>
      </c>
      <c r="AE178" s="10">
        <v>2019</v>
      </c>
    </row>
    <row r="179" spans="1:32" ht="13">
      <c r="A179" s="9" t="s">
        <v>16</v>
      </c>
      <c r="B179" s="11">
        <f t="shared" ref="B179:AE179" si="39">B167*B$46/5</f>
        <v>9.84239697284746E-2</v>
      </c>
      <c r="C179" s="11">
        <f t="shared" si="39"/>
        <v>9.747925177120971E-2</v>
      </c>
      <c r="D179" s="11">
        <f t="shared" si="39"/>
        <v>9.62964775886576E-2</v>
      </c>
      <c r="E179" s="11">
        <f t="shared" si="39"/>
        <v>9.5151377557792502E-2</v>
      </c>
      <c r="F179" s="11">
        <f t="shared" si="39"/>
        <v>9.4071644178998104E-2</v>
      </c>
      <c r="G179" s="11">
        <f t="shared" si="39"/>
        <v>9.2703880063260788E-2</v>
      </c>
      <c r="H179" s="11">
        <f t="shared" si="39"/>
        <v>9.1636644552767682E-2</v>
      </c>
      <c r="I179" s="11">
        <f t="shared" si="39"/>
        <v>9.0458034124576842E-2</v>
      </c>
      <c r="J179" s="11">
        <f t="shared" si="39"/>
        <v>8.9097290781378652E-2</v>
      </c>
      <c r="K179" s="11">
        <f t="shared" si="39"/>
        <v>8.7484099243796118E-2</v>
      </c>
      <c r="L179" s="11">
        <f t="shared" si="39"/>
        <v>8.5709125397569808E-2</v>
      </c>
      <c r="M179" s="11">
        <f t="shared" si="39"/>
        <v>8.3868113866354704E-2</v>
      </c>
      <c r="N179" s="11">
        <f t="shared" si="39"/>
        <v>8.1857637074087455E-2</v>
      </c>
      <c r="O179" s="11">
        <f t="shared" si="39"/>
        <v>7.9304008790863148E-2</v>
      </c>
      <c r="P179" s="11">
        <f t="shared" si="39"/>
        <v>7.6777905339729002E-2</v>
      </c>
      <c r="Q179" s="11">
        <f t="shared" si="39"/>
        <v>7.4871998378414545E-2</v>
      </c>
      <c r="R179" s="11">
        <f t="shared" si="39"/>
        <v>7.3850538675935759E-2</v>
      </c>
      <c r="S179" s="11">
        <f t="shared" si="39"/>
        <v>7.3403003145831952E-2</v>
      </c>
      <c r="T179" s="11">
        <f t="shared" si="39"/>
        <v>7.3161867865749949E-2</v>
      </c>
      <c r="U179" s="11">
        <f t="shared" si="39"/>
        <v>7.2825048420449401E-2</v>
      </c>
      <c r="V179" s="11">
        <f t="shared" si="39"/>
        <v>7.2312199927849055E-2</v>
      </c>
      <c r="W179" s="11">
        <f t="shared" si="39"/>
        <v>7.1278455831868662E-2</v>
      </c>
      <c r="X179" s="11">
        <f t="shared" si="39"/>
        <v>6.9604466483790123E-2</v>
      </c>
      <c r="Y179" s="11">
        <f t="shared" si="39"/>
        <v>6.719098262121817E-2</v>
      </c>
      <c r="Z179" s="11">
        <f t="shared" si="39"/>
        <v>6.4617463795960201E-2</v>
      </c>
      <c r="AA179" s="11">
        <f t="shared" si="39"/>
        <v>6.1964030479403277E-2</v>
      </c>
      <c r="AB179" s="11">
        <f t="shared" si="39"/>
        <v>5.9371291005794337E-2</v>
      </c>
      <c r="AC179" s="11">
        <f t="shared" si="39"/>
        <v>5.7295883384054405E-2</v>
      </c>
      <c r="AD179" s="11">
        <f t="shared" si="39"/>
        <v>5.5860448072573919E-2</v>
      </c>
      <c r="AE179" s="11">
        <f t="shared" si="39"/>
        <v>5.4837066114416841E-2</v>
      </c>
    </row>
    <row r="180" spans="1:32" ht="13">
      <c r="A180" s="9" t="s">
        <v>17</v>
      </c>
      <c r="B180" s="11">
        <f t="shared" ref="B180:AE180" si="40">B168*B$46/5</f>
        <v>0.18249135201120825</v>
      </c>
      <c r="C180" s="11">
        <f t="shared" si="40"/>
        <v>0.17987878750194747</v>
      </c>
      <c r="D180" s="11">
        <f t="shared" si="40"/>
        <v>0.17646034509565572</v>
      </c>
      <c r="E180" s="11">
        <f t="shared" si="40"/>
        <v>0.17247507931046041</v>
      </c>
      <c r="F180" s="11">
        <f t="shared" si="40"/>
        <v>0.1683111918897118</v>
      </c>
      <c r="G180" s="11">
        <f t="shared" si="40"/>
        <v>0.16412382833379496</v>
      </c>
      <c r="H180" s="11">
        <f t="shared" si="40"/>
        <v>0.1602432121929358</v>
      </c>
      <c r="I180" s="11">
        <f t="shared" si="40"/>
        <v>0.15761861858419973</v>
      </c>
      <c r="J180" s="11">
        <f t="shared" si="40"/>
        <v>0.15681774863501829</v>
      </c>
      <c r="K180" s="11">
        <f t="shared" si="40"/>
        <v>0.15732347424316778</v>
      </c>
      <c r="L180" s="11">
        <f t="shared" si="40"/>
        <v>0.15693328514119848</v>
      </c>
      <c r="M180" s="11">
        <f t="shared" si="40"/>
        <v>0.15507154680246565</v>
      </c>
      <c r="N180" s="11">
        <f t="shared" si="40"/>
        <v>0.15231295429017627</v>
      </c>
      <c r="O180" s="11">
        <f t="shared" si="40"/>
        <v>0.14998133409466216</v>
      </c>
      <c r="P180" s="11">
        <f t="shared" si="40"/>
        <v>0.14850311092769128</v>
      </c>
      <c r="Q180" s="11">
        <f t="shared" si="40"/>
        <v>0.14736359418411127</v>
      </c>
      <c r="R180" s="11">
        <f t="shared" si="40"/>
        <v>0.14649308372161621</v>
      </c>
      <c r="S180" s="11">
        <f t="shared" si="40"/>
        <v>0.14595955750631354</v>
      </c>
      <c r="T180" s="11">
        <f t="shared" si="40"/>
        <v>0.14564916431371133</v>
      </c>
      <c r="U180" s="11">
        <f t="shared" si="40"/>
        <v>0.14515423854940093</v>
      </c>
      <c r="V180" s="11">
        <f t="shared" si="40"/>
        <v>0.14375586286123695</v>
      </c>
      <c r="W180" s="11">
        <f t="shared" si="40"/>
        <v>0.14150014166340283</v>
      </c>
      <c r="X180" s="11">
        <f t="shared" si="40"/>
        <v>0.13897799609578113</v>
      </c>
      <c r="Y180" s="11">
        <f t="shared" si="40"/>
        <v>0.13737919890401667</v>
      </c>
      <c r="Z180" s="11">
        <f t="shared" si="40"/>
        <v>0.13603231014119274</v>
      </c>
      <c r="AA180" s="11">
        <f t="shared" si="40"/>
        <v>0.13376605960781612</v>
      </c>
      <c r="AB180" s="11">
        <f t="shared" si="40"/>
        <v>0.12994864966836367</v>
      </c>
      <c r="AC180" s="11">
        <f t="shared" si="40"/>
        <v>0.12655352959435592</v>
      </c>
      <c r="AD180" s="11">
        <f t="shared" si="40"/>
        <v>0.12446007477960926</v>
      </c>
      <c r="AE180" s="11">
        <f t="shared" si="40"/>
        <v>0.12114744133621599</v>
      </c>
      <c r="AF180" s="11"/>
    </row>
    <row r="181" spans="1:32" ht="13">
      <c r="A181" s="9" t="s">
        <v>18</v>
      </c>
      <c r="B181" s="11">
        <f t="shared" ref="B181:AE181" si="41">B169*B$46/5</f>
        <v>0.18223870703855713</v>
      </c>
      <c r="C181" s="11">
        <f t="shared" si="41"/>
        <v>0.17832151010567299</v>
      </c>
      <c r="D181" s="11">
        <f t="shared" si="41"/>
        <v>0.17367971157222276</v>
      </c>
      <c r="E181" s="11">
        <f t="shared" si="41"/>
        <v>0.16833432897464226</v>
      </c>
      <c r="F181" s="11">
        <f t="shared" si="41"/>
        <v>0.16271075876415475</v>
      </c>
      <c r="G181" s="11">
        <f t="shared" si="41"/>
        <v>0.15727421097718572</v>
      </c>
      <c r="H181" s="11">
        <f t="shared" si="41"/>
        <v>0.15210852940645758</v>
      </c>
      <c r="I181" s="11">
        <f t="shared" si="41"/>
        <v>0.14840241533502713</v>
      </c>
      <c r="J181" s="11">
        <f t="shared" si="41"/>
        <v>0.14668912667472209</v>
      </c>
      <c r="K181" s="11">
        <f t="shared" si="41"/>
        <v>0.14633445843946316</v>
      </c>
      <c r="L181" s="11">
        <f t="shared" si="41"/>
        <v>0.14507903796517219</v>
      </c>
      <c r="M181" s="11">
        <f t="shared" si="41"/>
        <v>0.14243851848122033</v>
      </c>
      <c r="N181" s="11">
        <f t="shared" si="41"/>
        <v>0.1390923710579475</v>
      </c>
      <c r="O181" s="11">
        <f t="shared" si="41"/>
        <v>0.13653274461899903</v>
      </c>
      <c r="P181" s="11">
        <f t="shared" si="41"/>
        <v>0.13490543700622409</v>
      </c>
      <c r="Q181" s="11">
        <f t="shared" si="41"/>
        <v>0.13353435452951246</v>
      </c>
      <c r="R181" s="11">
        <f t="shared" si="41"/>
        <v>0.13213988673335689</v>
      </c>
      <c r="S181" s="11">
        <f t="shared" si="41"/>
        <v>0.13078289320612652</v>
      </c>
      <c r="T181" s="11">
        <f t="shared" si="41"/>
        <v>0.1293680076335631</v>
      </c>
      <c r="U181" s="11">
        <f t="shared" si="41"/>
        <v>0.12762887476147078</v>
      </c>
      <c r="V181" s="11">
        <f t="shared" si="41"/>
        <v>0.12509553452591343</v>
      </c>
      <c r="W181" s="11">
        <f t="shared" si="41"/>
        <v>0.12218781953153487</v>
      </c>
      <c r="X181" s="11">
        <f t="shared" si="41"/>
        <v>0.11946109261812918</v>
      </c>
      <c r="Y181" s="11">
        <f t="shared" si="41"/>
        <v>0.1180358068284669</v>
      </c>
      <c r="Z181" s="11">
        <f t="shared" si="41"/>
        <v>0.1170666077753006</v>
      </c>
      <c r="AA181" s="11">
        <f t="shared" si="41"/>
        <v>0.11565691033009493</v>
      </c>
      <c r="AB181" s="11">
        <f t="shared" si="41"/>
        <v>0.11309391715017178</v>
      </c>
      <c r="AC181" s="11">
        <f t="shared" si="41"/>
        <v>0.11113342120318528</v>
      </c>
      <c r="AD181" s="11">
        <f t="shared" si="41"/>
        <v>0.11069591414182844</v>
      </c>
      <c r="AE181" s="11">
        <f t="shared" si="41"/>
        <v>0.10959546964026408</v>
      </c>
      <c r="AF181" s="11"/>
    </row>
    <row r="182" spans="1:32" ht="13">
      <c r="A182" s="9" t="s">
        <v>19</v>
      </c>
      <c r="B182" s="11">
        <f t="shared" ref="B182:AE182" si="42">B170*B$46/5</f>
        <v>0.14422733405353019</v>
      </c>
      <c r="C182" s="11">
        <f t="shared" si="42"/>
        <v>0.14004880642901316</v>
      </c>
      <c r="D182" s="11">
        <f t="shared" si="42"/>
        <v>0.1354780642469901</v>
      </c>
      <c r="E182" s="11">
        <f t="shared" si="42"/>
        <v>0.13037881803106616</v>
      </c>
      <c r="F182" s="11">
        <f t="shared" si="42"/>
        <v>0.12503988143023942</v>
      </c>
      <c r="G182" s="11">
        <f t="shared" si="42"/>
        <v>0.11993782810488596</v>
      </c>
      <c r="H182" s="11">
        <f t="shared" si="42"/>
        <v>0.11507907924771832</v>
      </c>
      <c r="I182" s="11">
        <f t="shared" si="42"/>
        <v>0.11126415124525757</v>
      </c>
      <c r="J182" s="11">
        <f t="shared" si="42"/>
        <v>0.10875078607866986</v>
      </c>
      <c r="K182" s="11">
        <f t="shared" si="42"/>
        <v>0.1070108161497948</v>
      </c>
      <c r="L182" s="11">
        <f t="shared" si="42"/>
        <v>0.10469727800685094</v>
      </c>
      <c r="M182" s="11">
        <f t="shared" si="42"/>
        <v>0.10166500349657522</v>
      </c>
      <c r="N182" s="11">
        <f t="shared" si="42"/>
        <v>9.8370859106649708E-2</v>
      </c>
      <c r="O182" s="11">
        <f t="shared" si="42"/>
        <v>9.5694962955817822E-2</v>
      </c>
      <c r="P182" s="11">
        <f t="shared" si="42"/>
        <v>9.3643296226531808E-2</v>
      </c>
      <c r="Q182" s="11">
        <f t="shared" si="42"/>
        <v>9.1894798455185639E-2</v>
      </c>
      <c r="R182" s="11">
        <f t="shared" si="42"/>
        <v>9.0201855267592362E-2</v>
      </c>
      <c r="S182" s="11">
        <f t="shared" si="42"/>
        <v>8.8480846527682608E-2</v>
      </c>
      <c r="T182" s="11">
        <f t="shared" si="42"/>
        <v>8.6561307444435007E-2</v>
      </c>
      <c r="U182" s="11">
        <f t="shared" si="42"/>
        <v>8.4317247705834972E-2</v>
      </c>
      <c r="V182" s="11">
        <f t="shared" si="42"/>
        <v>8.1675939085551388E-2</v>
      </c>
      <c r="W182" s="11">
        <f t="shared" si="42"/>
        <v>7.9070606316037725E-2</v>
      </c>
      <c r="X182" s="11">
        <f t="shared" si="42"/>
        <v>7.6737082959457026E-2</v>
      </c>
      <c r="Y182" s="11">
        <f t="shared" si="42"/>
        <v>7.5212608513793328E-2</v>
      </c>
      <c r="Z182" s="11">
        <f t="shared" si="42"/>
        <v>7.40453133851951E-2</v>
      </c>
      <c r="AA182" s="11">
        <f t="shared" si="42"/>
        <v>7.2976203435075479E-2</v>
      </c>
      <c r="AB182" s="11">
        <f t="shared" si="42"/>
        <v>7.1605464377888159E-2</v>
      </c>
      <c r="AC182" s="11">
        <f t="shared" si="42"/>
        <v>7.0923454333001193E-2</v>
      </c>
      <c r="AD182" s="11">
        <f t="shared" si="42"/>
        <v>7.1540492009310314E-2</v>
      </c>
      <c r="AE182" s="11">
        <f t="shared" si="42"/>
        <v>7.2508705859523764E-2</v>
      </c>
      <c r="AF182" s="11"/>
    </row>
    <row r="183" spans="1:32" ht="13">
      <c r="A183" s="9" t="s">
        <v>20</v>
      </c>
      <c r="B183" s="11">
        <f t="shared" ref="B183:AE183" si="43">B171*B$46/5</f>
        <v>8.6839766635681756E-2</v>
      </c>
      <c r="C183" s="11">
        <f t="shared" si="43"/>
        <v>8.3628713373231439E-2</v>
      </c>
      <c r="D183" s="11">
        <f t="shared" si="43"/>
        <v>8.0339534237256122E-2</v>
      </c>
      <c r="E183" s="11">
        <f t="shared" si="43"/>
        <v>7.6797010404985211E-2</v>
      </c>
      <c r="F183" s="11">
        <f t="shared" si="43"/>
        <v>7.3117927233087146E-2</v>
      </c>
      <c r="G183" s="11">
        <f t="shared" si="43"/>
        <v>6.9613245074797742E-2</v>
      </c>
      <c r="H183" s="11">
        <f t="shared" si="43"/>
        <v>6.6291568981138818E-2</v>
      </c>
      <c r="I183" s="11">
        <f t="shared" si="43"/>
        <v>6.3452784866287734E-2</v>
      </c>
      <c r="J183" s="11">
        <f t="shared" si="43"/>
        <v>6.112601004444089E-2</v>
      </c>
      <c r="K183" s="11">
        <f t="shared" si="43"/>
        <v>5.9019394079487031E-2</v>
      </c>
      <c r="L183" s="11">
        <f t="shared" si="43"/>
        <v>5.6721591937788453E-2</v>
      </c>
      <c r="M183" s="11">
        <f t="shared" si="43"/>
        <v>5.4307721667246511E-2</v>
      </c>
      <c r="N183" s="11">
        <f t="shared" si="43"/>
        <v>5.1949759307975643E-2</v>
      </c>
      <c r="O183" s="11">
        <f t="shared" si="43"/>
        <v>4.9903236656354606E-2</v>
      </c>
      <c r="P183" s="11">
        <f t="shared" si="43"/>
        <v>4.8144247332866763E-2</v>
      </c>
      <c r="Q183" s="11">
        <f t="shared" si="43"/>
        <v>4.6668405845286948E-2</v>
      </c>
      <c r="R183" s="11">
        <f t="shared" si="43"/>
        <v>4.5337662676966352E-2</v>
      </c>
      <c r="S183" s="11">
        <f t="shared" si="43"/>
        <v>4.4005753115833934E-2</v>
      </c>
      <c r="T183" s="11">
        <f t="shared" si="43"/>
        <v>4.2504219382002849E-2</v>
      </c>
      <c r="U183" s="11">
        <f t="shared" si="43"/>
        <v>4.0798734070770129E-2</v>
      </c>
      <c r="V183" s="11">
        <f t="shared" si="43"/>
        <v>3.9007450216999272E-2</v>
      </c>
      <c r="W183" s="11">
        <f t="shared" si="43"/>
        <v>3.7389509005544629E-2</v>
      </c>
      <c r="X183" s="11">
        <f t="shared" si="43"/>
        <v>3.5954987166030475E-2</v>
      </c>
      <c r="Y183" s="11">
        <f t="shared" si="43"/>
        <v>3.4810553455446744E-2</v>
      </c>
      <c r="Z183" s="11">
        <f t="shared" si="43"/>
        <v>3.3854021091059006E-2</v>
      </c>
      <c r="AA183" s="11">
        <f t="shared" si="43"/>
        <v>3.3163897478146714E-2</v>
      </c>
      <c r="AB183" s="11">
        <f t="shared" si="43"/>
        <v>3.260854844052196E-2</v>
      </c>
      <c r="AC183" s="11">
        <f t="shared" si="43"/>
        <v>3.2548642695544368E-2</v>
      </c>
      <c r="AD183" s="11">
        <f t="shared" si="43"/>
        <v>3.3264011015018531E-2</v>
      </c>
      <c r="AE183" s="11">
        <f t="shared" si="43"/>
        <v>3.465927940358926E-2</v>
      </c>
      <c r="AF183" s="11"/>
    </row>
    <row r="184" spans="1:32" ht="13">
      <c r="A184" s="9" t="s">
        <v>21</v>
      </c>
      <c r="B184" s="11">
        <f t="shared" ref="B184:AE184" si="44">B172*B$46/5</f>
        <v>3.2075580810994687E-2</v>
      </c>
      <c r="C184" s="11">
        <f t="shared" si="44"/>
        <v>3.0597675024843323E-2</v>
      </c>
      <c r="D184" s="11">
        <f t="shared" si="44"/>
        <v>2.9168793196886079E-2</v>
      </c>
      <c r="E184" s="11">
        <f t="shared" si="44"/>
        <v>2.7685330708107046E-2</v>
      </c>
      <c r="F184" s="11">
        <f t="shared" si="44"/>
        <v>2.6159845549070831E-2</v>
      </c>
      <c r="G184" s="11">
        <f t="shared" si="44"/>
        <v>2.4706514209369E-2</v>
      </c>
      <c r="H184" s="11">
        <f t="shared" si="44"/>
        <v>2.3340332870299255E-2</v>
      </c>
      <c r="I184" s="11">
        <f t="shared" si="44"/>
        <v>2.2078426276634228E-2</v>
      </c>
      <c r="J184" s="11">
        <f t="shared" si="44"/>
        <v>2.0881406217943606E-2</v>
      </c>
      <c r="K184" s="11">
        <f t="shared" si="44"/>
        <v>1.9670000322746076E-2</v>
      </c>
      <c r="L184" s="11">
        <f t="shared" si="44"/>
        <v>1.8473391776410181E-2</v>
      </c>
      <c r="M184" s="11">
        <f t="shared" si="44"/>
        <v>1.7374922335170871E-2</v>
      </c>
      <c r="N184" s="11">
        <f t="shared" si="44"/>
        <v>1.6384055360558234E-2</v>
      </c>
      <c r="O184" s="11">
        <f t="shared" si="44"/>
        <v>1.5480457163543996E-2</v>
      </c>
      <c r="P184" s="11">
        <f t="shared" si="44"/>
        <v>1.4654469814153118E-2</v>
      </c>
      <c r="Q184" s="11">
        <f t="shared" si="44"/>
        <v>1.3976975309344502E-2</v>
      </c>
      <c r="R184" s="11">
        <f t="shared" si="44"/>
        <v>1.3402097935874499E-2</v>
      </c>
      <c r="S184" s="11">
        <f t="shared" si="44"/>
        <v>1.284152770327035E-2</v>
      </c>
      <c r="T184" s="11">
        <f t="shared" si="44"/>
        <v>1.2212518727829483E-2</v>
      </c>
      <c r="U184" s="11">
        <f t="shared" si="44"/>
        <v>1.1515482917625405E-2</v>
      </c>
      <c r="V184" s="11">
        <f t="shared" si="44"/>
        <v>1.0839549351160129E-2</v>
      </c>
      <c r="W184" s="11">
        <f t="shared" si="44"/>
        <v>1.0266856010978643E-2</v>
      </c>
      <c r="X184" s="11">
        <f t="shared" si="44"/>
        <v>9.7598676715141483E-3</v>
      </c>
      <c r="Y184" s="11">
        <f t="shared" si="44"/>
        <v>9.2935990474302069E-3</v>
      </c>
      <c r="Z184" s="11">
        <f t="shared" si="44"/>
        <v>8.886679258872085E-3</v>
      </c>
      <c r="AA184" s="11">
        <f t="shared" si="44"/>
        <v>8.6263398940873738E-3</v>
      </c>
      <c r="AB184" s="11">
        <f t="shared" si="44"/>
        <v>8.4946196426331673E-3</v>
      </c>
      <c r="AC184" s="11">
        <f t="shared" si="44"/>
        <v>8.552694453642859E-3</v>
      </c>
      <c r="AD184" s="11">
        <f t="shared" si="44"/>
        <v>8.8736449422680691E-3</v>
      </c>
      <c r="AE184" s="11">
        <f t="shared" si="44"/>
        <v>9.5643515456243725E-3</v>
      </c>
      <c r="AF184" s="11"/>
    </row>
    <row r="185" spans="1:32" s="7" customFormat="1" ht="13">
      <c r="A185" s="4" t="s">
        <v>22</v>
      </c>
      <c r="B185" s="11">
        <f t="shared" ref="B185:AE185" si="45">B173*B$46/5</f>
        <v>6.2392397215534053E-3</v>
      </c>
      <c r="C185" s="11">
        <f t="shared" si="45"/>
        <v>5.8755957940818618E-3</v>
      </c>
      <c r="D185" s="11">
        <f t="shared" si="45"/>
        <v>5.5439640623317164E-3</v>
      </c>
      <c r="E185" s="11">
        <f t="shared" si="45"/>
        <v>5.2136650129464054E-3</v>
      </c>
      <c r="F185" s="11">
        <f t="shared" si="45"/>
        <v>4.8783609547380603E-3</v>
      </c>
      <c r="G185" s="11">
        <f t="shared" si="45"/>
        <v>4.5588332367058199E-3</v>
      </c>
      <c r="H185" s="11">
        <f t="shared" si="45"/>
        <v>4.2620427486824864E-3</v>
      </c>
      <c r="I185" s="11">
        <f t="shared" si="45"/>
        <v>3.9666695680166406E-3</v>
      </c>
      <c r="J185" s="11">
        <f t="shared" si="45"/>
        <v>3.6550015678267966E-3</v>
      </c>
      <c r="K185" s="11">
        <f t="shared" si="45"/>
        <v>3.3232275215449893E-3</v>
      </c>
      <c r="L185" s="11">
        <f t="shared" si="45"/>
        <v>3.0201297750100655E-3</v>
      </c>
      <c r="M185" s="11">
        <f t="shared" si="45"/>
        <v>2.7699433509668055E-3</v>
      </c>
      <c r="N185" s="11">
        <f t="shared" si="45"/>
        <v>2.559853802605162E-3</v>
      </c>
      <c r="O185" s="11">
        <f t="shared" si="45"/>
        <v>2.3621257197593065E-3</v>
      </c>
      <c r="P185" s="11">
        <f t="shared" si="45"/>
        <v>2.1760133528039688E-3</v>
      </c>
      <c r="Q185" s="11">
        <f t="shared" si="45"/>
        <v>2.027883298144603E-3</v>
      </c>
      <c r="R185" s="11">
        <f t="shared" si="45"/>
        <v>1.9090149886578684E-3</v>
      </c>
      <c r="S185" s="11">
        <f t="shared" si="45"/>
        <v>1.7966287949412649E-3</v>
      </c>
      <c r="T185" s="11">
        <f t="shared" si="45"/>
        <v>1.6723046327083092E-3</v>
      </c>
      <c r="U185" s="11">
        <f t="shared" si="45"/>
        <v>1.5384035744483364E-3</v>
      </c>
      <c r="V185" s="11">
        <f t="shared" si="45"/>
        <v>1.4173440312897666E-3</v>
      </c>
      <c r="W185" s="11">
        <f t="shared" si="45"/>
        <v>1.3205716406325778E-3</v>
      </c>
      <c r="X185" s="11">
        <f t="shared" si="45"/>
        <v>1.235237005297799E-3</v>
      </c>
      <c r="Y185" s="11">
        <f t="shared" si="45"/>
        <v>1.1485106296279346E-3</v>
      </c>
      <c r="Z185" s="11">
        <f t="shared" si="45"/>
        <v>1.0717245524202214E-3</v>
      </c>
      <c r="AA185" s="11">
        <f t="shared" si="45"/>
        <v>1.0263687753760925E-3</v>
      </c>
      <c r="AB185" s="11">
        <f t="shared" si="45"/>
        <v>1.0122997146269257E-3</v>
      </c>
      <c r="AC185" s="11">
        <f t="shared" si="45"/>
        <v>1.0311243362160088E-3</v>
      </c>
      <c r="AD185" s="11">
        <f t="shared" si="45"/>
        <v>1.0919750393914951E-3</v>
      </c>
      <c r="AE185" s="11">
        <f t="shared" si="45"/>
        <v>1.2335861003657162E-3</v>
      </c>
      <c r="AF185" s="8"/>
    </row>
    <row r="186" spans="1:32">
      <c r="A186" s="1" t="s">
        <v>50</v>
      </c>
      <c r="B186" s="1">
        <f>5*SUM(B179:B185)</f>
        <v>3.6626797499999997</v>
      </c>
      <c r="C186" s="1">
        <f t="shared" ref="C186:AE186" si="46">5*SUM(C179:C185)</f>
        <v>3.5791516999999997</v>
      </c>
      <c r="D186" s="1">
        <f t="shared" si="46"/>
        <v>3.4848344500000001</v>
      </c>
      <c r="E186" s="1">
        <f t="shared" si="46"/>
        <v>3.3801780500000005</v>
      </c>
      <c r="F186" s="1">
        <f t="shared" si="46"/>
        <v>3.2714480500000005</v>
      </c>
      <c r="G186" s="1">
        <f t="shared" si="46"/>
        <v>3.1645916999999995</v>
      </c>
      <c r="H186" s="1">
        <f t="shared" si="46"/>
        <v>3.0648070499999998</v>
      </c>
      <c r="I186" s="1">
        <f t="shared" si="46"/>
        <v>2.9862054999999992</v>
      </c>
      <c r="J186" s="1">
        <f t="shared" si="46"/>
        <v>2.9350868500000011</v>
      </c>
      <c r="K186" s="1">
        <f t="shared" si="46"/>
        <v>2.9008273499999997</v>
      </c>
      <c r="L186" s="1">
        <f t="shared" si="46"/>
        <v>2.8531692000000008</v>
      </c>
      <c r="M186" s="1">
        <f t="shared" si="46"/>
        <v>2.7874788500000007</v>
      </c>
      <c r="N186" s="1">
        <f t="shared" si="46"/>
        <v>2.7126374499999999</v>
      </c>
      <c r="O186" s="1">
        <f t="shared" si="46"/>
        <v>2.6462943500000007</v>
      </c>
      <c r="P186" s="1">
        <f t="shared" si="46"/>
        <v>2.5940224000000001</v>
      </c>
      <c r="Q186" s="1">
        <f t="shared" si="46"/>
        <v>2.5516900499999999</v>
      </c>
      <c r="R186" s="1">
        <f t="shared" si="46"/>
        <v>2.5166707000000006</v>
      </c>
      <c r="S186" s="1">
        <f t="shared" si="46"/>
        <v>2.4863510500000006</v>
      </c>
      <c r="T186" s="1">
        <f t="shared" si="46"/>
        <v>2.4556469500000002</v>
      </c>
      <c r="U186" s="1">
        <f t="shared" si="46"/>
        <v>2.4188901499999997</v>
      </c>
      <c r="V186" s="1">
        <f t="shared" si="46"/>
        <v>2.3705194000000001</v>
      </c>
      <c r="W186" s="1">
        <f t="shared" si="46"/>
        <v>2.3150697999999998</v>
      </c>
      <c r="X186" s="1">
        <f t="shared" si="46"/>
        <v>2.2586536499999994</v>
      </c>
      <c r="Y186" s="1">
        <f t="shared" si="46"/>
        <v>2.2153563000000003</v>
      </c>
      <c r="Z186" s="1">
        <f t="shared" si="46"/>
        <v>2.1778705999999999</v>
      </c>
      <c r="AA186" s="1">
        <f t="shared" si="46"/>
        <v>2.1358990499999999</v>
      </c>
      <c r="AB186" s="1">
        <f t="shared" si="46"/>
        <v>2.08067395</v>
      </c>
      <c r="AC186" s="1">
        <f t="shared" si="46"/>
        <v>2.0401937500000003</v>
      </c>
      <c r="AD186" s="1">
        <f t="shared" si="46"/>
        <v>2.0289328000000002</v>
      </c>
      <c r="AE186" s="1">
        <f t="shared" si="46"/>
        <v>2.0177294999999997</v>
      </c>
    </row>
  </sheetData>
  <mergeCells count="1">
    <mergeCell ref="A1:B1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2507-FF79-44D8-9E91-3A89B3009F78}">
  <sheetPr codeName="Hoja2"/>
  <dimension ref="A1:AF186"/>
  <sheetViews>
    <sheetView topLeftCell="A160" zoomScale="150" zoomScaleNormal="150" workbookViewId="0">
      <selection activeCell="B186" sqref="B186"/>
    </sheetView>
  </sheetViews>
  <sheetFormatPr baseColWidth="10" defaultColWidth="11.5" defaultRowHeight="12"/>
  <cols>
    <col min="1" max="1" width="16.5" style="1" customWidth="1"/>
    <col min="2" max="3" width="11.5" style="1"/>
    <col min="4" max="4" width="10.5" style="1" customWidth="1"/>
    <col min="5" max="16384" width="11.5" style="1"/>
  </cols>
  <sheetData>
    <row r="1" spans="1:31">
      <c r="A1" s="19"/>
      <c r="B1" s="19"/>
      <c r="C1" s="3"/>
    </row>
    <row r="2" spans="1:31">
      <c r="A2" s="1" t="s">
        <v>24</v>
      </c>
    </row>
    <row r="4" spans="1:31" s="6" customFormat="1">
      <c r="A4" s="5" t="s">
        <v>1</v>
      </c>
    </row>
    <row r="5" spans="1:31">
      <c r="A5" s="1" t="s">
        <v>25</v>
      </c>
    </row>
    <row r="7" spans="1:31" ht="13">
      <c r="A7" s="9" t="s">
        <v>23</v>
      </c>
      <c r="B7" s="10">
        <v>1990</v>
      </c>
      <c r="C7" s="10">
        <v>1991</v>
      </c>
      <c r="D7" s="10">
        <v>1992</v>
      </c>
      <c r="E7" s="10">
        <v>1993</v>
      </c>
      <c r="F7" s="10">
        <v>1994</v>
      </c>
      <c r="G7" s="10">
        <v>1995</v>
      </c>
      <c r="H7" s="10">
        <v>1996</v>
      </c>
      <c r="I7" s="10">
        <v>1997</v>
      </c>
      <c r="J7" s="10">
        <v>1998</v>
      </c>
      <c r="K7" s="10">
        <v>1999</v>
      </c>
      <c r="L7" s="10">
        <v>2000</v>
      </c>
      <c r="M7" s="10">
        <v>2001</v>
      </c>
      <c r="N7" s="10">
        <v>2002</v>
      </c>
      <c r="O7" s="10">
        <v>2003</v>
      </c>
      <c r="P7" s="10">
        <v>2004</v>
      </c>
      <c r="Q7" s="10">
        <v>2005</v>
      </c>
      <c r="R7" s="10">
        <v>2006</v>
      </c>
      <c r="S7" s="10">
        <v>2007</v>
      </c>
      <c r="T7" s="10">
        <v>2008</v>
      </c>
      <c r="U7" s="10">
        <v>2009</v>
      </c>
      <c r="V7" s="10">
        <v>2010</v>
      </c>
      <c r="W7" s="10">
        <v>2011</v>
      </c>
      <c r="X7" s="10">
        <v>2012</v>
      </c>
      <c r="Y7" s="10">
        <v>2013</v>
      </c>
      <c r="Z7" s="10">
        <v>2014</v>
      </c>
      <c r="AA7" s="10">
        <v>2015</v>
      </c>
      <c r="AB7" s="10">
        <v>2016</v>
      </c>
      <c r="AC7" s="10">
        <v>2017</v>
      </c>
      <c r="AD7" s="10">
        <v>2018</v>
      </c>
      <c r="AE7" s="10">
        <v>2019</v>
      </c>
    </row>
    <row r="8" spans="1:31" ht="13">
      <c r="A8" s="9" t="s">
        <v>16</v>
      </c>
      <c r="B8" s="11">
        <v>9.0233160000000007E-2</v>
      </c>
      <c r="C8" s="11">
        <v>8.9794239999999997E-2</v>
      </c>
      <c r="D8" s="11">
        <v>8.9321380000000006E-2</v>
      </c>
      <c r="E8" s="11">
        <v>8.8592820000000003E-2</v>
      </c>
      <c r="F8" s="11">
        <v>8.7669079999999996E-2</v>
      </c>
      <c r="G8" s="11">
        <v>8.6776210000000006E-2</v>
      </c>
      <c r="H8" s="11">
        <v>8.6097919999999994E-2</v>
      </c>
      <c r="I8" s="11">
        <v>8.5563920000000002E-2</v>
      </c>
      <c r="J8" s="11">
        <v>8.498493E-2</v>
      </c>
      <c r="K8" s="11">
        <v>8.4279889999999996E-2</v>
      </c>
      <c r="L8" s="11">
        <v>8.3493680000000001E-2</v>
      </c>
      <c r="M8" s="11">
        <v>8.2617839999999998E-2</v>
      </c>
      <c r="N8" s="11">
        <v>8.1652390000000005E-2</v>
      </c>
      <c r="O8" s="11">
        <v>8.0575679999999997E-2</v>
      </c>
      <c r="P8" s="11">
        <v>7.9516130000000004E-2</v>
      </c>
      <c r="Q8" s="11">
        <v>7.8667210000000001E-2</v>
      </c>
      <c r="R8" s="11">
        <v>7.8193700000000005E-2</v>
      </c>
      <c r="S8" s="11">
        <v>7.8115690000000002E-2</v>
      </c>
      <c r="T8" s="11">
        <v>7.8321459999999996E-2</v>
      </c>
      <c r="U8" s="11">
        <v>7.8534589999999987E-2</v>
      </c>
      <c r="V8" s="11">
        <v>7.8512860000000004E-2</v>
      </c>
      <c r="W8" s="11">
        <v>7.8118430000000003E-2</v>
      </c>
      <c r="X8" s="11">
        <v>7.7317919999999998E-2</v>
      </c>
      <c r="Y8" s="11">
        <v>7.6132199999999997E-2</v>
      </c>
      <c r="Z8" s="11">
        <v>7.4495980000000003E-2</v>
      </c>
      <c r="AA8" s="11">
        <v>7.2381669999999995E-2</v>
      </c>
      <c r="AB8" s="11">
        <v>6.9845840000000006E-2</v>
      </c>
      <c r="AC8" s="11">
        <v>6.7968529999999999E-2</v>
      </c>
      <c r="AD8" s="11">
        <v>6.6774730000000004E-2</v>
      </c>
      <c r="AE8" s="11">
        <v>6.5107689999999996E-2</v>
      </c>
    </row>
    <row r="9" spans="1:31" ht="13">
      <c r="A9" s="9" t="s">
        <v>17</v>
      </c>
      <c r="B9" s="11">
        <v>0.19252694000000001</v>
      </c>
      <c r="C9" s="11">
        <v>0.18921925000000001</v>
      </c>
      <c r="D9" s="11">
        <v>0.18490076999999999</v>
      </c>
      <c r="E9" s="11">
        <v>0.18028378</v>
      </c>
      <c r="F9" s="11">
        <v>0.17554268000000001</v>
      </c>
      <c r="G9" s="11">
        <v>0.17052034999999999</v>
      </c>
      <c r="H9" s="11">
        <v>0.1658955</v>
      </c>
      <c r="I9" s="11">
        <v>0.16256274000000001</v>
      </c>
      <c r="J9" s="11">
        <v>0.16123892000000001</v>
      </c>
      <c r="K9" s="11">
        <v>0.16084346999999999</v>
      </c>
      <c r="L9" s="11">
        <v>0.15935642</v>
      </c>
      <c r="M9" s="11">
        <v>0.15632101000000001</v>
      </c>
      <c r="N9" s="11">
        <v>0.15253087000000001</v>
      </c>
      <c r="O9" s="11">
        <v>0.14862855999999999</v>
      </c>
      <c r="P9" s="11">
        <v>0.14550888000000001</v>
      </c>
      <c r="Q9" s="11">
        <v>0.14303837999999999</v>
      </c>
      <c r="R9" s="11">
        <v>0.1415167</v>
      </c>
      <c r="S9" s="11">
        <v>0.14077909999999999</v>
      </c>
      <c r="T9" s="11">
        <v>0.14025657999999999</v>
      </c>
      <c r="U9" s="11">
        <v>0.13938418999999999</v>
      </c>
      <c r="V9" s="11">
        <v>0.13760848000000001</v>
      </c>
      <c r="W9" s="11">
        <v>0.13467939000000001</v>
      </c>
      <c r="X9" s="11">
        <v>0.13128820999999999</v>
      </c>
      <c r="Y9" s="11">
        <v>0.12845309999999999</v>
      </c>
      <c r="Z9" s="11">
        <v>0.12598376999999999</v>
      </c>
      <c r="AA9" s="11">
        <v>0.12279640999999999</v>
      </c>
      <c r="AB9" s="11">
        <v>0.11835452</v>
      </c>
      <c r="AC9" s="11">
        <v>0.11431439</v>
      </c>
      <c r="AD9" s="11">
        <v>0.11174587</v>
      </c>
      <c r="AE9" s="11">
        <v>0.10918103999999999</v>
      </c>
    </row>
    <row r="10" spans="1:31" ht="13">
      <c r="A10" s="9" t="s">
        <v>18</v>
      </c>
      <c r="B10" s="11">
        <v>0.18786406</v>
      </c>
      <c r="C10" s="11">
        <v>0.18361131</v>
      </c>
      <c r="D10" s="11">
        <v>0.17843484000000001</v>
      </c>
      <c r="E10" s="11">
        <v>0.17291133</v>
      </c>
      <c r="F10" s="11">
        <v>0.16773778</v>
      </c>
      <c r="G10" s="11">
        <v>0.16233992</v>
      </c>
      <c r="H10" s="11">
        <v>0.15729666</v>
      </c>
      <c r="I10" s="11">
        <v>0.15299309</v>
      </c>
      <c r="J10" s="11">
        <v>0.15003626</v>
      </c>
      <c r="K10" s="11">
        <v>0.14878474999999999</v>
      </c>
      <c r="L10" s="11">
        <v>0.14676963000000001</v>
      </c>
      <c r="M10" s="11">
        <v>0.14358071</v>
      </c>
      <c r="N10" s="11">
        <v>0.13925581000000001</v>
      </c>
      <c r="O10" s="11">
        <v>0.13553114999999999</v>
      </c>
      <c r="P10" s="11">
        <v>0.13289514999999999</v>
      </c>
      <c r="Q10" s="11">
        <v>0.13106013</v>
      </c>
      <c r="R10" s="11">
        <v>0.12938509000000001</v>
      </c>
      <c r="S10" s="11">
        <v>0.12747225000000001</v>
      </c>
      <c r="T10" s="11">
        <v>0.12534487</v>
      </c>
      <c r="U10" s="11">
        <v>0.12293889</v>
      </c>
      <c r="V10" s="11">
        <v>0.1199081</v>
      </c>
      <c r="W10" s="11">
        <v>0.11661816</v>
      </c>
      <c r="X10" s="11">
        <v>0.11323161000000001</v>
      </c>
      <c r="Y10" s="11">
        <v>0.11083061</v>
      </c>
      <c r="Z10" s="11">
        <v>0.10937845</v>
      </c>
      <c r="AA10" s="11">
        <v>0.10808481</v>
      </c>
      <c r="AB10" s="11">
        <v>0.10631725</v>
      </c>
      <c r="AC10" s="11">
        <v>0.10479963</v>
      </c>
      <c r="AD10" s="11">
        <v>0.10434263000000001</v>
      </c>
      <c r="AE10" s="11">
        <v>0.10335688</v>
      </c>
    </row>
    <row r="11" spans="1:31" ht="13">
      <c r="A11" s="9" t="s">
        <v>19</v>
      </c>
      <c r="B11" s="11">
        <v>0.13976904000000001</v>
      </c>
      <c r="C11" s="11">
        <v>0.13612700999999999</v>
      </c>
      <c r="D11" s="11">
        <v>0.13245527000000001</v>
      </c>
      <c r="E11" s="11">
        <v>0.1281178</v>
      </c>
      <c r="F11" s="11">
        <v>0.12291038</v>
      </c>
      <c r="G11" s="11">
        <v>0.11778294</v>
      </c>
      <c r="H11" s="11">
        <v>0.1124164</v>
      </c>
      <c r="I11" s="11">
        <v>0.10854243</v>
      </c>
      <c r="J11" s="11">
        <v>0.10639692000000001</v>
      </c>
      <c r="K11" s="11">
        <v>0.10530112</v>
      </c>
      <c r="L11" s="11">
        <v>0.10363379</v>
      </c>
      <c r="M11" s="11">
        <v>0.10123952</v>
      </c>
      <c r="N11" s="11">
        <v>9.8782599999999998E-2</v>
      </c>
      <c r="O11" s="11">
        <v>9.6978780000000001E-2</v>
      </c>
      <c r="P11" s="11">
        <v>9.5649200000000004E-2</v>
      </c>
      <c r="Q11" s="11">
        <v>9.4099870000000002E-2</v>
      </c>
      <c r="R11" s="11">
        <v>9.2316860000000001E-2</v>
      </c>
      <c r="S11" s="11">
        <v>9.0413090000000002E-2</v>
      </c>
      <c r="T11" s="11">
        <v>8.8508970000000006E-2</v>
      </c>
      <c r="U11" s="11">
        <v>8.6372589999999999E-2</v>
      </c>
      <c r="V11" s="11">
        <v>8.377685E-2</v>
      </c>
      <c r="W11" s="11">
        <v>8.1257629999999997E-2</v>
      </c>
      <c r="X11" s="11">
        <v>7.8985529999999998E-2</v>
      </c>
      <c r="Y11" s="11">
        <v>7.7643039999999997E-2</v>
      </c>
      <c r="Z11" s="11">
        <v>7.6603690000000002E-2</v>
      </c>
      <c r="AA11" s="11">
        <v>7.5781899999999999E-2</v>
      </c>
      <c r="AB11" s="11">
        <v>7.440186E-2</v>
      </c>
      <c r="AC11" s="11">
        <v>7.3634889999999995E-2</v>
      </c>
      <c r="AD11" s="11">
        <v>7.4045020000000003E-2</v>
      </c>
      <c r="AE11" s="11">
        <v>7.4596309999999999E-2</v>
      </c>
    </row>
    <row r="12" spans="1:31" ht="13">
      <c r="A12" s="9" t="s">
        <v>20</v>
      </c>
      <c r="B12" s="11">
        <v>8.5097740000000005E-2</v>
      </c>
      <c r="C12" s="11">
        <v>8.1589010000000003E-2</v>
      </c>
      <c r="D12" s="11">
        <v>7.7796169999999998E-2</v>
      </c>
      <c r="E12" s="11">
        <v>7.3522900000000002E-2</v>
      </c>
      <c r="F12" s="11">
        <v>6.9411810000000004E-2</v>
      </c>
      <c r="G12" s="11">
        <v>6.6157530000000006E-2</v>
      </c>
      <c r="H12" s="11">
        <v>6.3576199999999999E-2</v>
      </c>
      <c r="I12" s="11">
        <v>6.1489059999999998E-2</v>
      </c>
      <c r="J12" s="11">
        <v>5.9824500000000003E-2</v>
      </c>
      <c r="K12" s="11">
        <v>5.7968690000000003E-2</v>
      </c>
      <c r="L12" s="11">
        <v>5.5833519999999998E-2</v>
      </c>
      <c r="M12" s="11">
        <v>5.3425510000000002E-2</v>
      </c>
      <c r="N12" s="11">
        <v>5.1048250000000003E-2</v>
      </c>
      <c r="O12" s="11">
        <v>4.9303880000000001E-2</v>
      </c>
      <c r="P12" s="11">
        <v>4.800861E-2</v>
      </c>
      <c r="Q12" s="11">
        <v>4.7178489999999997E-2</v>
      </c>
      <c r="R12" s="11">
        <v>4.6463810000000001E-2</v>
      </c>
      <c r="S12" s="11">
        <v>4.5808950000000001E-2</v>
      </c>
      <c r="T12" s="11">
        <v>4.4764030000000003E-2</v>
      </c>
      <c r="U12" s="11">
        <v>4.3337340000000002E-2</v>
      </c>
      <c r="V12" s="11">
        <v>4.171267E-2</v>
      </c>
      <c r="W12" s="11">
        <v>4.0244849999999999E-2</v>
      </c>
      <c r="X12" s="11">
        <v>3.922929E-2</v>
      </c>
      <c r="Y12" s="11">
        <v>3.872453E-2</v>
      </c>
      <c r="Z12" s="11">
        <v>3.8165020000000001E-2</v>
      </c>
      <c r="AA12" s="11">
        <v>3.7427460000000003E-2</v>
      </c>
      <c r="AB12" s="11">
        <v>3.6672450000000002E-2</v>
      </c>
      <c r="AC12" s="11">
        <v>3.6745680000000003E-2</v>
      </c>
      <c r="AD12" s="11">
        <v>3.8015359999999998E-2</v>
      </c>
      <c r="AE12" s="11">
        <v>3.9817810000000002E-2</v>
      </c>
    </row>
    <row r="13" spans="1:31" ht="13">
      <c r="A13" s="9" t="s">
        <v>21</v>
      </c>
      <c r="B13" s="11">
        <v>3.0412700000000001E-2</v>
      </c>
      <c r="C13" s="11">
        <v>2.927691E-2</v>
      </c>
      <c r="D13" s="11">
        <v>2.822933E-2</v>
      </c>
      <c r="E13" s="11">
        <v>2.715302E-2</v>
      </c>
      <c r="F13" s="11">
        <v>2.5939259999999999E-2</v>
      </c>
      <c r="G13" s="11">
        <v>2.46199E-2</v>
      </c>
      <c r="H13" s="11">
        <v>2.3295449999999999E-2</v>
      </c>
      <c r="I13" s="11">
        <v>2.203625E-2</v>
      </c>
      <c r="J13" s="11">
        <v>2.0819839999999999E-2</v>
      </c>
      <c r="K13" s="11">
        <v>1.9616769999999999E-2</v>
      </c>
      <c r="L13" s="11">
        <v>1.849934E-2</v>
      </c>
      <c r="M13" s="11">
        <v>1.7535680000000001E-2</v>
      </c>
      <c r="N13" s="11">
        <v>1.671752E-2</v>
      </c>
      <c r="O13" s="11">
        <v>1.5923690000000001E-2</v>
      </c>
      <c r="P13" s="11">
        <v>1.511031E-2</v>
      </c>
      <c r="Q13" s="11">
        <v>1.432927E-2</v>
      </c>
      <c r="R13" s="11">
        <v>1.3608749999999999E-2</v>
      </c>
      <c r="S13" s="11">
        <v>1.294798E-2</v>
      </c>
      <c r="T13" s="11">
        <v>1.2336679999999999E-2</v>
      </c>
      <c r="U13" s="11">
        <v>1.176726E-2</v>
      </c>
      <c r="V13" s="11">
        <v>1.128652E-2</v>
      </c>
      <c r="W13" s="11">
        <v>1.09169E-2</v>
      </c>
      <c r="X13" s="11">
        <v>1.061137E-2</v>
      </c>
      <c r="Y13" s="11">
        <v>1.033281E-2</v>
      </c>
      <c r="Z13" s="11">
        <v>1.008408E-2</v>
      </c>
      <c r="AA13" s="11">
        <v>9.8909700000000007E-3</v>
      </c>
      <c r="AB13" s="11">
        <v>9.7349299999999993E-3</v>
      </c>
      <c r="AC13" s="11">
        <v>9.75029E-3</v>
      </c>
      <c r="AD13" s="11">
        <v>9.9845000000000003E-3</v>
      </c>
      <c r="AE13" s="11">
        <v>1.0467519999999999E-2</v>
      </c>
    </row>
    <row r="14" spans="1:31" ht="13">
      <c r="A14" s="9" t="s">
        <v>22</v>
      </c>
      <c r="B14" s="11">
        <v>6.6323099999999998E-3</v>
      </c>
      <c r="C14" s="11">
        <v>6.2126100000000004E-3</v>
      </c>
      <c r="D14" s="11">
        <v>5.8291300000000001E-3</v>
      </c>
      <c r="E14" s="11">
        <v>5.4539599999999999E-3</v>
      </c>
      <c r="F14" s="11">
        <v>5.0786199999999998E-3</v>
      </c>
      <c r="G14" s="11">
        <v>4.7214900000000001E-3</v>
      </c>
      <c r="H14" s="11">
        <v>4.3832799999999998E-3</v>
      </c>
      <c r="I14" s="11">
        <v>4.05361E-3</v>
      </c>
      <c r="J14" s="11">
        <v>3.7160000000000001E-3</v>
      </c>
      <c r="K14" s="11">
        <v>3.3707799999999999E-3</v>
      </c>
      <c r="L14" s="11">
        <v>3.0474600000000001E-3</v>
      </c>
      <c r="M14" s="11">
        <v>2.7755000000000002E-3</v>
      </c>
      <c r="N14" s="11">
        <v>2.5400499999999999E-3</v>
      </c>
      <c r="O14" s="11">
        <v>2.3171300000000001E-3</v>
      </c>
      <c r="P14" s="11">
        <v>2.1161999999999999E-3</v>
      </c>
      <c r="Q14" s="11">
        <v>1.96466E-3</v>
      </c>
      <c r="R14" s="11">
        <v>1.8492300000000001E-3</v>
      </c>
      <c r="S14" s="11">
        <v>1.7331499999999999E-3</v>
      </c>
      <c r="T14" s="11">
        <v>1.5968E-3</v>
      </c>
      <c r="U14" s="11">
        <v>1.4431699999999999E-3</v>
      </c>
      <c r="V14" s="11">
        <v>1.2983999999999999E-3</v>
      </c>
      <c r="W14" s="11">
        <v>1.1785999999999999E-3</v>
      </c>
      <c r="X14" s="11">
        <v>1.0667999999999999E-3</v>
      </c>
      <c r="Y14" s="11">
        <v>9.5496999999999997E-4</v>
      </c>
      <c r="Z14" s="11">
        <v>8.6313000000000004E-4</v>
      </c>
      <c r="AA14" s="11">
        <v>8.1658999999999996E-4</v>
      </c>
      <c r="AB14" s="11">
        <v>8.0794000000000016E-4</v>
      </c>
      <c r="AC14" s="11">
        <v>8.2534000000000004E-4</v>
      </c>
      <c r="AD14" s="11">
        <v>8.7845000000000002E-4</v>
      </c>
      <c r="AE14" s="11">
        <v>1.0186500000000001E-3</v>
      </c>
    </row>
    <row r="16" spans="1:31" s="6" customFormat="1">
      <c r="A16" s="5" t="s">
        <v>2</v>
      </c>
    </row>
    <row r="17" spans="1:31">
      <c r="A17" s="1" t="s">
        <v>26</v>
      </c>
    </row>
    <row r="19" spans="1:31" ht="13">
      <c r="A19" s="9" t="s">
        <v>23</v>
      </c>
      <c r="B19" s="10" t="s">
        <v>27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3">
      <c r="A20" s="9" t="s">
        <v>16</v>
      </c>
      <c r="B20" s="11">
        <v>7.9988592333333344E-2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ht="13">
      <c r="A21" s="9" t="s">
        <v>17</v>
      </c>
      <c r="B21" s="11">
        <v>0.14817534233333332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3">
      <c r="A22" s="9" t="s">
        <v>18</v>
      </c>
      <c r="B22" s="11">
        <v>0.1364370603333333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ht="13">
      <c r="A23" s="9" t="s">
        <v>19</v>
      </c>
      <c r="B23" s="11">
        <v>9.7618043333333321E-2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ht="13">
      <c r="A24" s="9" t="s">
        <v>20</v>
      </c>
      <c r="B24" s="11">
        <v>5.2278704000000016E-2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ht="13">
      <c r="A25" s="9" t="s">
        <v>21</v>
      </c>
      <c r="B25" s="11">
        <v>1.6774526666666668E-2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ht="13">
      <c r="A26" s="9" t="s">
        <v>22</v>
      </c>
      <c r="B26" s="11">
        <v>2.6848003333333334E-3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8" spans="1:31" s="6" customFormat="1">
      <c r="A28" s="5" t="s">
        <v>3</v>
      </c>
    </row>
    <row r="29" spans="1:31">
      <c r="A29" s="1" t="s">
        <v>28</v>
      </c>
    </row>
    <row r="31" spans="1:31" ht="13">
      <c r="A31" s="9" t="s">
        <v>29</v>
      </c>
      <c r="B31" s="10">
        <v>1990</v>
      </c>
      <c r="C31" s="10">
        <v>1991</v>
      </c>
      <c r="D31" s="10">
        <v>1992</v>
      </c>
      <c r="E31" s="10">
        <v>1993</v>
      </c>
      <c r="F31" s="10">
        <v>1994</v>
      </c>
      <c r="G31" s="10">
        <v>1995</v>
      </c>
      <c r="H31" s="10">
        <v>1996</v>
      </c>
      <c r="I31" s="10">
        <v>1997</v>
      </c>
      <c r="J31" s="10">
        <v>1998</v>
      </c>
      <c r="K31" s="10">
        <v>1999</v>
      </c>
      <c r="L31" s="10">
        <v>2000</v>
      </c>
      <c r="M31" s="10">
        <v>2001</v>
      </c>
      <c r="N31" s="10">
        <v>2002</v>
      </c>
      <c r="O31" s="10">
        <v>2003</v>
      </c>
      <c r="P31" s="10">
        <v>2004</v>
      </c>
      <c r="Q31" s="10">
        <v>2005</v>
      </c>
      <c r="R31" s="10">
        <v>2006</v>
      </c>
      <c r="S31" s="10">
        <v>2007</v>
      </c>
      <c r="T31" s="10">
        <v>2008</v>
      </c>
      <c r="U31" s="10">
        <v>2009</v>
      </c>
      <c r="V31" s="10">
        <v>2010</v>
      </c>
      <c r="W31" s="10">
        <v>2011</v>
      </c>
      <c r="X31" s="10">
        <v>2012</v>
      </c>
      <c r="Y31" s="10">
        <v>2013</v>
      </c>
      <c r="Z31" s="10">
        <v>2014</v>
      </c>
      <c r="AA31" s="10">
        <v>2015</v>
      </c>
      <c r="AB31" s="10">
        <v>2016</v>
      </c>
      <c r="AC31" s="10">
        <v>2017</v>
      </c>
      <c r="AD31" s="10">
        <v>2018</v>
      </c>
      <c r="AE31" s="10">
        <v>2019</v>
      </c>
    </row>
    <row r="32" spans="1:31" ht="13">
      <c r="A32" s="9" t="s">
        <v>0</v>
      </c>
      <c r="B32" s="11">
        <v>3.6626797500000001</v>
      </c>
      <c r="C32" s="11">
        <v>3.5791516999999997</v>
      </c>
      <c r="D32" s="11">
        <v>3.4848344500000006</v>
      </c>
      <c r="E32" s="11">
        <v>3.38017805</v>
      </c>
      <c r="F32" s="11">
        <v>3.2714480500000005</v>
      </c>
      <c r="G32" s="11">
        <v>3.1645916999999999</v>
      </c>
      <c r="H32" s="11">
        <v>3.0648070499999998</v>
      </c>
      <c r="I32" s="11">
        <v>2.9862054999999996</v>
      </c>
      <c r="J32" s="11">
        <v>2.9350868500000011</v>
      </c>
      <c r="K32" s="11">
        <v>2.9008273499999997</v>
      </c>
      <c r="L32" s="11">
        <v>2.8531692000000004</v>
      </c>
      <c r="M32" s="11">
        <v>2.7874788500000003</v>
      </c>
      <c r="N32" s="11">
        <v>2.7126374499999999</v>
      </c>
      <c r="O32" s="11">
        <v>2.6462943500000002</v>
      </c>
      <c r="P32" s="11">
        <v>2.5940224000000001</v>
      </c>
      <c r="Q32" s="11">
        <v>2.5516900499999999</v>
      </c>
      <c r="R32" s="11">
        <v>2.5166706999999997</v>
      </c>
      <c r="S32" s="11">
        <v>2.4863510500000006</v>
      </c>
      <c r="T32" s="11">
        <v>2.4556469500000002</v>
      </c>
      <c r="U32" s="11">
        <v>2.4188901499999997</v>
      </c>
      <c r="V32" s="11">
        <v>2.3705194000000001</v>
      </c>
      <c r="W32" s="11">
        <v>2.3150697999999998</v>
      </c>
      <c r="X32" s="11">
        <v>2.2586536499999994</v>
      </c>
      <c r="Y32" s="11">
        <v>2.2153562999999998</v>
      </c>
      <c r="Z32" s="11">
        <v>2.1778705999999999</v>
      </c>
      <c r="AA32" s="11">
        <v>2.1358990499999999</v>
      </c>
      <c r="AB32" s="11">
        <v>2.08067395</v>
      </c>
      <c r="AC32" s="11">
        <v>2.0401937500000003</v>
      </c>
      <c r="AD32" s="11">
        <v>2.0289328000000002</v>
      </c>
      <c r="AE32" s="11">
        <v>2.0177295000000002</v>
      </c>
    </row>
    <row r="33" spans="1:31" ht="13">
      <c r="A33" s="9" t="s">
        <v>30</v>
      </c>
      <c r="B33" s="11">
        <v>2.6697853466666666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ht="13">
      <c r="A34" s="9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s="6" customFormat="1">
      <c r="A35" s="5" t="s">
        <v>4</v>
      </c>
    </row>
    <row r="36" spans="1:31">
      <c r="A36" s="1" t="s">
        <v>31</v>
      </c>
    </row>
    <row r="38" spans="1:31" ht="13">
      <c r="A38" s="9" t="s">
        <v>23</v>
      </c>
      <c r="B38" s="10">
        <v>1990</v>
      </c>
      <c r="C38" s="10">
        <v>1991</v>
      </c>
      <c r="D38" s="10">
        <v>1992</v>
      </c>
      <c r="E38" s="10">
        <v>1993</v>
      </c>
      <c r="F38" s="10">
        <v>1994</v>
      </c>
      <c r="G38" s="10">
        <v>1995</v>
      </c>
      <c r="H38" s="10">
        <v>1996</v>
      </c>
      <c r="I38" s="10">
        <v>1997</v>
      </c>
      <c r="J38" s="10">
        <v>1998</v>
      </c>
      <c r="K38" s="10">
        <v>1999</v>
      </c>
      <c r="L38" s="10">
        <v>2000</v>
      </c>
      <c r="M38" s="10">
        <v>2001</v>
      </c>
      <c r="N38" s="10">
        <v>2002</v>
      </c>
      <c r="O38" s="10">
        <v>2003</v>
      </c>
      <c r="P38" s="10">
        <v>2004</v>
      </c>
      <c r="Q38" s="10">
        <v>2005</v>
      </c>
      <c r="R38" s="10">
        <v>2006</v>
      </c>
      <c r="S38" s="10">
        <v>2007</v>
      </c>
      <c r="T38" s="10">
        <v>2008</v>
      </c>
      <c r="U38" s="10">
        <v>2009</v>
      </c>
      <c r="V38" s="10">
        <v>2010</v>
      </c>
      <c r="W38" s="10">
        <v>2011</v>
      </c>
      <c r="X38" s="10">
        <v>2012</v>
      </c>
      <c r="Y38" s="10">
        <v>2013</v>
      </c>
      <c r="Z38" s="10">
        <v>2014</v>
      </c>
      <c r="AA38" s="10">
        <v>2015</v>
      </c>
      <c r="AB38" s="10">
        <v>2016</v>
      </c>
      <c r="AC38" s="10">
        <v>2017</v>
      </c>
      <c r="AD38" s="10">
        <v>2018</v>
      </c>
      <c r="AE38" s="10">
        <v>2019</v>
      </c>
    </row>
    <row r="39" spans="1:31" ht="13">
      <c r="A39" s="9" t="s">
        <v>16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ht="13">
      <c r="A40" s="9" t="s">
        <v>17</v>
      </c>
      <c r="B40" s="11">
        <v>0.45116580000000006</v>
      </c>
      <c r="C40" s="11">
        <v>0.44897120000000001</v>
      </c>
      <c r="D40" s="11">
        <v>0.44660690000000003</v>
      </c>
      <c r="E40" s="11">
        <v>0.44296410000000003</v>
      </c>
      <c r="F40" s="11">
        <v>0.4383454</v>
      </c>
      <c r="G40" s="11">
        <v>0.43388105000000005</v>
      </c>
      <c r="H40" s="11">
        <v>0.43048959999999997</v>
      </c>
      <c r="I40" s="11">
        <v>0.42781960000000002</v>
      </c>
      <c r="J40" s="11">
        <v>0.42492465000000001</v>
      </c>
      <c r="K40" s="11">
        <v>0.42139945000000001</v>
      </c>
      <c r="L40" s="11">
        <v>0.41746840000000002</v>
      </c>
      <c r="M40" s="11">
        <v>0.41308919999999999</v>
      </c>
      <c r="N40" s="11">
        <v>0.40826195000000004</v>
      </c>
      <c r="O40" s="11">
        <v>0.40287839999999997</v>
      </c>
      <c r="P40" s="11">
        <v>0.39758065000000004</v>
      </c>
      <c r="Q40" s="11">
        <v>0.39333604999999999</v>
      </c>
      <c r="R40" s="11">
        <v>0.39096850000000005</v>
      </c>
      <c r="S40" s="11">
        <v>0.39057845000000002</v>
      </c>
      <c r="T40" s="11">
        <v>0.39160729999999999</v>
      </c>
      <c r="U40" s="11">
        <v>0.39267294999999991</v>
      </c>
      <c r="V40" s="11">
        <v>0.39256430000000003</v>
      </c>
      <c r="W40" s="11">
        <v>0.39059215000000003</v>
      </c>
      <c r="X40" s="11">
        <v>0.38658959999999998</v>
      </c>
      <c r="Y40" s="11">
        <v>0.38066099999999997</v>
      </c>
      <c r="Z40" s="11">
        <v>0.37247990000000003</v>
      </c>
      <c r="AA40" s="11">
        <v>0.36190834999999999</v>
      </c>
      <c r="AB40" s="11">
        <v>0.34922920000000002</v>
      </c>
      <c r="AC40" s="11">
        <v>0.33984265000000002</v>
      </c>
      <c r="AD40" s="11">
        <v>0.33387365000000002</v>
      </c>
      <c r="AE40" s="11">
        <v>0.32553844999999998</v>
      </c>
    </row>
    <row r="41" spans="1:31" ht="13">
      <c r="A41" s="9" t="s">
        <v>18</v>
      </c>
      <c r="B41" s="11">
        <v>1.4138005</v>
      </c>
      <c r="C41" s="11">
        <v>1.39506745</v>
      </c>
      <c r="D41" s="11">
        <v>1.3711107499999999</v>
      </c>
      <c r="E41" s="11">
        <v>1.3443830000000001</v>
      </c>
      <c r="F41" s="11">
        <v>1.3160588</v>
      </c>
      <c r="G41" s="11">
        <v>1.2864827999999999</v>
      </c>
      <c r="H41" s="11">
        <v>1.2599671000000001</v>
      </c>
      <c r="I41" s="11">
        <v>1.2406333</v>
      </c>
      <c r="J41" s="11">
        <v>1.2311192500000001</v>
      </c>
      <c r="K41" s="11">
        <v>1.2256167999999998</v>
      </c>
      <c r="L41" s="11">
        <v>1.2142505000000001</v>
      </c>
      <c r="M41" s="11">
        <v>1.19469425</v>
      </c>
      <c r="N41" s="11">
        <v>1.1709163</v>
      </c>
      <c r="O41" s="11">
        <v>1.1460212000000001</v>
      </c>
      <c r="P41" s="11">
        <v>1.1251250500000001</v>
      </c>
      <c r="Q41" s="11">
        <v>1.10852795</v>
      </c>
      <c r="R41" s="11">
        <v>1.098552</v>
      </c>
      <c r="S41" s="11">
        <v>1.09447395</v>
      </c>
      <c r="T41" s="11">
        <v>1.0928901999999998</v>
      </c>
      <c r="U41" s="11">
        <v>1.0895938999999999</v>
      </c>
      <c r="V41" s="11">
        <v>1.0806066999999999</v>
      </c>
      <c r="W41" s="11">
        <v>1.0639891000000001</v>
      </c>
      <c r="X41" s="11">
        <v>1.0430306499999999</v>
      </c>
      <c r="Y41" s="11">
        <v>1.0229264999999998</v>
      </c>
      <c r="Z41" s="11">
        <v>1.00239875</v>
      </c>
      <c r="AA41" s="11">
        <v>0.97589039999999994</v>
      </c>
      <c r="AB41" s="11">
        <v>0.9410018</v>
      </c>
      <c r="AC41" s="11">
        <v>0.91141460000000007</v>
      </c>
      <c r="AD41" s="11">
        <v>0.89260300000000004</v>
      </c>
      <c r="AE41" s="11">
        <v>0.87144365000000001</v>
      </c>
    </row>
    <row r="42" spans="1:31" ht="13">
      <c r="A42" s="9" t="s">
        <v>19</v>
      </c>
      <c r="B42" s="11">
        <v>2.3531208000000001</v>
      </c>
      <c r="C42" s="11">
        <v>2.3131239999999997</v>
      </c>
      <c r="D42" s="11">
        <v>2.2632849500000001</v>
      </c>
      <c r="E42" s="11">
        <v>2.2089396500000005</v>
      </c>
      <c r="F42" s="11">
        <v>2.1547477000000002</v>
      </c>
      <c r="G42" s="11">
        <v>2.0981823999999998</v>
      </c>
      <c r="H42" s="11">
        <v>2.0464503999999999</v>
      </c>
      <c r="I42" s="11">
        <v>2.0055987499999999</v>
      </c>
      <c r="J42" s="11">
        <v>1.9813005500000003</v>
      </c>
      <c r="K42" s="11">
        <v>1.9695405499999998</v>
      </c>
      <c r="L42" s="11">
        <v>1.9480986500000004</v>
      </c>
      <c r="M42" s="11">
        <v>1.9125977999999999</v>
      </c>
      <c r="N42" s="11">
        <v>1.8671953499999998</v>
      </c>
      <c r="O42" s="11">
        <v>1.8236769499999999</v>
      </c>
      <c r="P42" s="11">
        <v>1.7896008000000001</v>
      </c>
      <c r="Q42" s="11">
        <v>1.7638286000000001</v>
      </c>
      <c r="R42" s="11">
        <v>1.7454774500000001</v>
      </c>
      <c r="S42" s="11">
        <v>1.7318352000000001</v>
      </c>
      <c r="T42" s="11">
        <v>1.7196145499999997</v>
      </c>
      <c r="U42" s="11">
        <v>1.7042883500000001</v>
      </c>
      <c r="V42" s="11">
        <v>1.6801472</v>
      </c>
      <c r="W42" s="11">
        <v>1.6470799000000003</v>
      </c>
      <c r="X42" s="11">
        <v>1.6091886999999998</v>
      </c>
      <c r="Y42" s="11">
        <v>1.5770795499999999</v>
      </c>
      <c r="Z42" s="11">
        <v>1.5492910000000002</v>
      </c>
      <c r="AA42" s="11">
        <v>1.5163144499999999</v>
      </c>
      <c r="AB42" s="11">
        <v>1.4725880499999999</v>
      </c>
      <c r="AC42" s="11">
        <v>1.4354127500000002</v>
      </c>
      <c r="AD42" s="11">
        <v>1.4143161500000001</v>
      </c>
      <c r="AE42" s="11">
        <v>1.3882280499999999</v>
      </c>
    </row>
    <row r="43" spans="1:31" ht="13">
      <c r="A43" s="9" t="s">
        <v>20</v>
      </c>
      <c r="B43" s="11">
        <v>3.0519660000000002</v>
      </c>
      <c r="C43" s="11">
        <v>2.99375905</v>
      </c>
      <c r="D43" s="11">
        <v>2.9255613</v>
      </c>
      <c r="E43" s="11">
        <v>2.8495286500000008</v>
      </c>
      <c r="F43" s="11">
        <v>2.7692996000000001</v>
      </c>
      <c r="G43" s="11">
        <v>2.6870970999999999</v>
      </c>
      <c r="H43" s="11">
        <v>2.6085323999999996</v>
      </c>
      <c r="I43" s="11">
        <v>2.5483108999999997</v>
      </c>
      <c r="J43" s="11">
        <v>2.5132851500000002</v>
      </c>
      <c r="K43" s="11">
        <v>2.4960461499999997</v>
      </c>
      <c r="L43" s="11">
        <v>2.4662676000000001</v>
      </c>
      <c r="M43" s="11">
        <v>2.4187954</v>
      </c>
      <c r="N43" s="11">
        <v>2.3611083499999999</v>
      </c>
      <c r="O43" s="11">
        <v>2.3085708499999997</v>
      </c>
      <c r="P43" s="11">
        <v>2.2678468000000001</v>
      </c>
      <c r="Q43" s="11">
        <v>2.23432795</v>
      </c>
      <c r="R43" s="11">
        <v>2.2070617500000003</v>
      </c>
      <c r="S43" s="11">
        <v>2.18390065</v>
      </c>
      <c r="T43" s="11">
        <v>2.1621594000000002</v>
      </c>
      <c r="U43" s="11">
        <v>2.1361512999999999</v>
      </c>
      <c r="V43" s="11">
        <v>2.09903145</v>
      </c>
      <c r="W43" s="11">
        <v>2.05336805</v>
      </c>
      <c r="X43" s="11">
        <v>2.0041163499999999</v>
      </c>
      <c r="Y43" s="11">
        <v>1.9652947499999998</v>
      </c>
      <c r="Z43" s="11">
        <v>1.9323094500000002</v>
      </c>
      <c r="AA43" s="11">
        <v>1.8952239499999999</v>
      </c>
      <c r="AB43" s="11">
        <v>1.8445973499999999</v>
      </c>
      <c r="AC43" s="11">
        <v>1.8035872000000004</v>
      </c>
      <c r="AD43" s="11">
        <v>1.7845412500000002</v>
      </c>
      <c r="AE43" s="11">
        <v>1.7612095999999999</v>
      </c>
    </row>
    <row r="44" spans="1:31" ht="13">
      <c r="A44" s="9" t="s">
        <v>21</v>
      </c>
      <c r="B44" s="11">
        <v>3.4774547000000005</v>
      </c>
      <c r="C44" s="11">
        <v>3.4017040999999999</v>
      </c>
      <c r="D44" s="11">
        <v>3.3145421500000003</v>
      </c>
      <c r="E44" s="11">
        <v>3.2171431500000001</v>
      </c>
      <c r="F44" s="11">
        <v>3.11635865</v>
      </c>
      <c r="G44" s="11">
        <v>3.0178847499999999</v>
      </c>
      <c r="H44" s="11">
        <v>2.9264133999999995</v>
      </c>
      <c r="I44" s="11">
        <v>2.8557561999999996</v>
      </c>
      <c r="J44" s="11">
        <v>2.8124076500000008</v>
      </c>
      <c r="K44" s="11">
        <v>2.7858896</v>
      </c>
      <c r="L44" s="11">
        <v>2.7454352000000002</v>
      </c>
      <c r="M44" s="11">
        <v>2.6859229499999997</v>
      </c>
      <c r="N44" s="11">
        <v>2.6163495999999995</v>
      </c>
      <c r="O44" s="11">
        <v>2.5550902500000001</v>
      </c>
      <c r="P44" s="11">
        <v>2.5078898500000002</v>
      </c>
      <c r="Q44" s="11">
        <v>2.4702204000000001</v>
      </c>
      <c r="R44" s="11">
        <v>2.4393807999999999</v>
      </c>
      <c r="S44" s="11">
        <v>2.4129454000000004</v>
      </c>
      <c r="T44" s="11">
        <v>2.3859795500000001</v>
      </c>
      <c r="U44" s="11">
        <v>2.3528379999999998</v>
      </c>
      <c r="V44" s="11">
        <v>2.3075948000000004</v>
      </c>
      <c r="W44" s="11">
        <v>2.2545923000000001</v>
      </c>
      <c r="X44" s="11">
        <v>2.2002627999999995</v>
      </c>
      <c r="Y44" s="11">
        <v>2.1589173999999995</v>
      </c>
      <c r="Z44" s="11">
        <v>2.1231345500000001</v>
      </c>
      <c r="AA44" s="11">
        <v>2.0823612499999999</v>
      </c>
      <c r="AB44" s="11">
        <v>2.0279596</v>
      </c>
      <c r="AC44" s="11">
        <v>1.9873156000000003</v>
      </c>
      <c r="AD44" s="11">
        <v>1.9746180500000001</v>
      </c>
      <c r="AE44" s="11">
        <v>1.9602986499999999</v>
      </c>
    </row>
    <row r="45" spans="1:31" ht="13">
      <c r="A45" s="9" t="s">
        <v>22</v>
      </c>
      <c r="B45" s="11">
        <v>3.6295182000000006</v>
      </c>
      <c r="C45" s="11">
        <v>3.5480886499999995</v>
      </c>
      <c r="D45" s="11">
        <v>3.4556888000000008</v>
      </c>
      <c r="E45" s="11">
        <v>3.35290825</v>
      </c>
      <c r="F45" s="11">
        <v>3.2460549500000004</v>
      </c>
      <c r="G45" s="11">
        <v>3.1409842500000003</v>
      </c>
      <c r="H45" s="11">
        <v>3.0428906499999995</v>
      </c>
      <c r="I45" s="11">
        <v>2.9659374499999998</v>
      </c>
      <c r="J45" s="11">
        <v>2.9165068500000007</v>
      </c>
      <c r="K45" s="11">
        <v>2.8839734499999996</v>
      </c>
      <c r="L45" s="11">
        <v>2.8379319000000001</v>
      </c>
      <c r="M45" s="11">
        <v>2.7736013499999999</v>
      </c>
      <c r="N45" s="11">
        <v>2.6999371999999999</v>
      </c>
      <c r="O45" s="11">
        <v>2.6347087</v>
      </c>
      <c r="P45" s="11">
        <v>2.5834413999999999</v>
      </c>
      <c r="Q45" s="11">
        <v>2.5418667500000005</v>
      </c>
      <c r="R45" s="11">
        <v>2.5074245499999996</v>
      </c>
      <c r="S45" s="11">
        <v>2.4776853000000005</v>
      </c>
      <c r="T45" s="11">
        <v>2.4476629499999998</v>
      </c>
      <c r="U45" s="11">
        <v>2.4116743</v>
      </c>
      <c r="V45" s="11">
        <v>2.3640274000000003</v>
      </c>
      <c r="W45" s="11">
        <v>2.3091768000000004</v>
      </c>
      <c r="X45" s="11">
        <v>2.2533196499999999</v>
      </c>
      <c r="Y45" s="11">
        <v>2.2105814499999998</v>
      </c>
      <c r="Z45" s="11">
        <v>2.1735549500000002</v>
      </c>
      <c r="AA45" s="11">
        <v>2.1318161</v>
      </c>
      <c r="AB45" s="11">
        <v>2.0766342499999997</v>
      </c>
      <c r="AC45" s="11">
        <v>2.0360670500000002</v>
      </c>
      <c r="AD45" s="11">
        <v>2.0245405500000002</v>
      </c>
      <c r="AE45" s="11">
        <v>2.0126362499999999</v>
      </c>
    </row>
    <row r="46" spans="1:31" s="12" customFormat="1" ht="13">
      <c r="A46" s="12" t="s">
        <v>0</v>
      </c>
      <c r="B46" s="13">
        <v>3.6626797500000001</v>
      </c>
      <c r="C46" s="13">
        <v>3.5791516999999997</v>
      </c>
      <c r="D46" s="13">
        <v>3.4848344500000006</v>
      </c>
      <c r="E46" s="13">
        <v>3.38017805</v>
      </c>
      <c r="F46" s="13">
        <v>3.2714480500000005</v>
      </c>
      <c r="G46" s="13">
        <v>3.1645916999999999</v>
      </c>
      <c r="H46" s="13">
        <v>3.0648070499999998</v>
      </c>
      <c r="I46" s="13">
        <v>2.9862054999999996</v>
      </c>
      <c r="J46" s="13">
        <v>2.9350868500000011</v>
      </c>
      <c r="K46" s="13">
        <v>2.9008273499999997</v>
      </c>
      <c r="L46" s="13">
        <v>2.8531692000000004</v>
      </c>
      <c r="M46" s="13">
        <v>2.7874788500000003</v>
      </c>
      <c r="N46" s="13">
        <v>2.7126374499999999</v>
      </c>
      <c r="O46" s="13">
        <v>2.6462943500000002</v>
      </c>
      <c r="P46" s="13">
        <v>2.5940224000000001</v>
      </c>
      <c r="Q46" s="13">
        <v>2.5516900499999999</v>
      </c>
      <c r="R46" s="13">
        <v>2.5166706999999997</v>
      </c>
      <c r="S46" s="13">
        <v>2.4863510500000006</v>
      </c>
      <c r="T46" s="13">
        <v>2.4556469500000002</v>
      </c>
      <c r="U46" s="13">
        <v>2.4188901499999997</v>
      </c>
      <c r="V46" s="13">
        <v>2.3705194000000001</v>
      </c>
      <c r="W46" s="13">
        <v>2.3150697999999998</v>
      </c>
      <c r="X46" s="13">
        <v>2.2586536499999994</v>
      </c>
      <c r="Y46" s="13">
        <v>2.2153562999999998</v>
      </c>
      <c r="Z46" s="13">
        <v>2.1778705999999999</v>
      </c>
      <c r="AA46" s="13">
        <v>2.1358990499999999</v>
      </c>
      <c r="AB46" s="13">
        <v>2.08067395</v>
      </c>
      <c r="AC46" s="13">
        <v>2.0401937500000003</v>
      </c>
      <c r="AD46" s="13">
        <v>2.0289328000000002</v>
      </c>
      <c r="AE46" s="13">
        <v>2.0177295000000002</v>
      </c>
    </row>
    <row r="48" spans="1:31" s="6" customFormat="1">
      <c r="A48" s="5"/>
    </row>
    <row r="49" spans="1:31">
      <c r="A49" s="1" t="s">
        <v>32</v>
      </c>
    </row>
    <row r="51" spans="1:31" ht="13">
      <c r="A51" s="9" t="s">
        <v>23</v>
      </c>
      <c r="B51" s="10">
        <v>1990</v>
      </c>
      <c r="C51" s="10">
        <v>1991</v>
      </c>
      <c r="D51" s="10">
        <v>1992</v>
      </c>
      <c r="E51" s="10">
        <v>1993</v>
      </c>
      <c r="F51" s="10">
        <v>1994</v>
      </c>
      <c r="G51" s="10">
        <v>1995</v>
      </c>
      <c r="H51" s="10">
        <v>1996</v>
      </c>
      <c r="I51" s="10">
        <v>1997</v>
      </c>
      <c r="J51" s="10">
        <v>1998</v>
      </c>
      <c r="K51" s="10">
        <v>1999</v>
      </c>
      <c r="L51" s="10">
        <v>2000</v>
      </c>
      <c r="M51" s="10">
        <v>2001</v>
      </c>
      <c r="N51" s="10">
        <v>2002</v>
      </c>
      <c r="O51" s="10">
        <v>2003</v>
      </c>
      <c r="P51" s="10">
        <v>2004</v>
      </c>
      <c r="Q51" s="10">
        <v>2005</v>
      </c>
      <c r="R51" s="10">
        <v>2006</v>
      </c>
      <c r="S51" s="10">
        <v>2007</v>
      </c>
      <c r="T51" s="10">
        <v>2008</v>
      </c>
      <c r="U51" s="10">
        <v>2009</v>
      </c>
      <c r="V51" s="10">
        <v>2010</v>
      </c>
      <c r="W51" s="10">
        <v>2011</v>
      </c>
      <c r="X51" s="10">
        <v>2012</v>
      </c>
      <c r="Y51" s="10">
        <v>2013</v>
      </c>
      <c r="Z51" s="10">
        <v>2014</v>
      </c>
      <c r="AA51" s="10">
        <v>2015</v>
      </c>
      <c r="AB51" s="10">
        <v>2016</v>
      </c>
      <c r="AC51" s="10">
        <v>2017</v>
      </c>
      <c r="AD51" s="10">
        <v>2018</v>
      </c>
      <c r="AE51" s="10">
        <v>2019</v>
      </c>
    </row>
    <row r="52" spans="1:31" ht="13">
      <c r="A52" s="9" t="s">
        <v>16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13">
      <c r="A53" s="9" t="s">
        <v>17</v>
      </c>
      <c r="B53" s="11">
        <v>0.12317915591719425</v>
      </c>
      <c r="C53" s="11">
        <v>0.12544067355401561</v>
      </c>
      <c r="D53" s="11">
        <v>0.12815727874820565</v>
      </c>
      <c r="E53" s="11">
        <v>0.13104756419561983</v>
      </c>
      <c r="F53" s="11">
        <v>0.13399124586435049</v>
      </c>
      <c r="G53" s="11">
        <v>0.13710490677201739</v>
      </c>
      <c r="H53" s="11">
        <v>0.14046221931002148</v>
      </c>
      <c r="I53" s="11">
        <v>0.14326529101898716</v>
      </c>
      <c r="J53" s="11">
        <v>0.14477413164111305</v>
      </c>
      <c r="K53" s="11">
        <v>0.14526871101101554</v>
      </c>
      <c r="L53" s="11">
        <v>0.14631743536275379</v>
      </c>
      <c r="M53" s="11">
        <v>0.148194559395491</v>
      </c>
      <c r="N53" s="11">
        <v>0.15050369152722567</v>
      </c>
      <c r="O53" s="11">
        <v>0.15224247446244971</v>
      </c>
      <c r="P53" s="11">
        <v>0.15326800955920813</v>
      </c>
      <c r="Q53" s="11">
        <v>0.1541472680038079</v>
      </c>
      <c r="R53" s="11">
        <v>0.15535147288042098</v>
      </c>
      <c r="S53" s="11">
        <v>0.15708902007220579</v>
      </c>
      <c r="T53" s="11">
        <v>0.15947215050600005</v>
      </c>
      <c r="U53" s="11">
        <v>0.16233599942519092</v>
      </c>
      <c r="V53" s="11">
        <v>0.16560265231324411</v>
      </c>
      <c r="W53" s="11">
        <v>0.16871722399039549</v>
      </c>
      <c r="X53" s="11">
        <v>0.17115930988356717</v>
      </c>
      <c r="Y53" s="11">
        <v>0.1718283420143297</v>
      </c>
      <c r="Z53" s="11">
        <v>0.17102939908367376</v>
      </c>
      <c r="AA53" s="11">
        <v>0.1694407561068956</v>
      </c>
      <c r="AB53" s="11">
        <v>0.16784426988188131</v>
      </c>
      <c r="AC53" s="11">
        <v>0.16657371389359465</v>
      </c>
      <c r="AD53" s="11">
        <v>0.16455628791648497</v>
      </c>
      <c r="AE53" s="11">
        <v>0.16133899514280778</v>
      </c>
    </row>
    <row r="54" spans="1:31" ht="13">
      <c r="A54" s="9" t="s">
        <v>18</v>
      </c>
      <c r="B54" s="11">
        <v>0.38600166995217094</v>
      </c>
      <c r="C54" s="11">
        <v>0.38977600474436447</v>
      </c>
      <c r="D54" s="11">
        <v>0.39345075631928506</v>
      </c>
      <c r="E54" s="11">
        <v>0.39772549851331057</v>
      </c>
      <c r="F54" s="11">
        <v>0.40228632088472255</v>
      </c>
      <c r="G54" s="11">
        <v>0.40652410230362418</v>
      </c>
      <c r="H54" s="11">
        <v>0.41110813158694615</v>
      </c>
      <c r="I54" s="11">
        <v>0.41545476357872901</v>
      </c>
      <c r="J54" s="11">
        <v>0.41944900199460866</v>
      </c>
      <c r="K54" s="11">
        <v>0.42250594472642433</v>
      </c>
      <c r="L54" s="11">
        <v>0.42557956254399493</v>
      </c>
      <c r="M54" s="11">
        <v>0.42859311739710593</v>
      </c>
      <c r="N54" s="11">
        <v>0.43165233894415195</v>
      </c>
      <c r="O54" s="11">
        <v>0.43306641228327453</v>
      </c>
      <c r="P54" s="11">
        <v>0.43373759995287631</v>
      </c>
      <c r="Q54" s="11">
        <v>0.43442891898253866</v>
      </c>
      <c r="R54" s="11">
        <v>0.436510028904457</v>
      </c>
      <c r="S54" s="11">
        <v>0.44019284806946302</v>
      </c>
      <c r="T54" s="11">
        <v>0.44505184265189252</v>
      </c>
      <c r="U54" s="11">
        <v>0.45045199758244497</v>
      </c>
      <c r="V54" s="11">
        <v>0.4558522912742245</v>
      </c>
      <c r="W54" s="11">
        <v>0.45959266541337118</v>
      </c>
      <c r="X54" s="11">
        <v>0.4617930907644916</v>
      </c>
      <c r="Y54" s="11">
        <v>0.4617435579098495</v>
      </c>
      <c r="Z54" s="11">
        <v>0.46026552266236576</v>
      </c>
      <c r="AA54" s="11">
        <v>0.4568991217070863</v>
      </c>
      <c r="AB54" s="11">
        <v>0.45225817336733609</v>
      </c>
      <c r="AC54" s="11">
        <v>0.44672943439808105</v>
      </c>
      <c r="AD54" s="11">
        <v>0.43993719259701453</v>
      </c>
      <c r="AE54" s="11">
        <v>0.43189319975745011</v>
      </c>
    </row>
    <row r="55" spans="1:31" ht="13">
      <c r="A55" s="9" t="s">
        <v>19</v>
      </c>
      <c r="B55" s="11">
        <v>0.64245878990648853</v>
      </c>
      <c r="C55" s="11">
        <v>0.64627716114966571</v>
      </c>
      <c r="D55" s="11">
        <v>0.64946699261424012</v>
      </c>
      <c r="E55" s="11">
        <v>0.65349801617698822</v>
      </c>
      <c r="F55" s="11">
        <v>0.65865258046815078</v>
      </c>
      <c r="G55" s="11">
        <v>0.66301836031485506</v>
      </c>
      <c r="H55" s="11">
        <v>0.66772568928931431</v>
      </c>
      <c r="I55" s="11">
        <v>0.67162114261727801</v>
      </c>
      <c r="J55" s="11">
        <v>0.6750398374071962</v>
      </c>
      <c r="K55" s="11">
        <v>0.67895821169777648</v>
      </c>
      <c r="L55" s="11">
        <v>0.68278413001233862</v>
      </c>
      <c r="M55" s="11">
        <v>0.68613894595110547</v>
      </c>
      <c r="N55" s="11">
        <v>0.68833206958784698</v>
      </c>
      <c r="O55" s="11">
        <v>0.6891436510076816</v>
      </c>
      <c r="P55" s="11">
        <v>0.68989411964985348</v>
      </c>
      <c r="Q55" s="11">
        <v>0.69123936114419549</v>
      </c>
      <c r="R55" s="11">
        <v>0.69356608713249623</v>
      </c>
      <c r="S55" s="11">
        <v>0.69653687881282889</v>
      </c>
      <c r="T55" s="11">
        <v>0.70026945445068944</v>
      </c>
      <c r="U55" s="11">
        <v>0.70457451323285614</v>
      </c>
      <c r="V55" s="11">
        <v>0.70876753845591811</v>
      </c>
      <c r="W55" s="11">
        <v>0.71146014690356219</v>
      </c>
      <c r="X55" s="11">
        <v>0.71245482900842294</v>
      </c>
      <c r="Y55" s="11">
        <v>0.71188528454768196</v>
      </c>
      <c r="Z55" s="11">
        <v>0.71137881194594399</v>
      </c>
      <c r="AA55" s="11">
        <v>0.70991859376500022</v>
      </c>
      <c r="AB55" s="11">
        <v>0.70774570422242267</v>
      </c>
      <c r="AC55" s="11">
        <v>0.70356687937113815</v>
      </c>
      <c r="AD55" s="11">
        <v>0.69707392477464014</v>
      </c>
      <c r="AE55" s="11">
        <v>0.68801494452056122</v>
      </c>
    </row>
    <row r="56" spans="1:31" ht="13">
      <c r="A56" s="9" t="s">
        <v>20</v>
      </c>
      <c r="B56" s="11">
        <v>0.83326040175912186</v>
      </c>
      <c r="C56" s="11">
        <v>0.83644374447721792</v>
      </c>
      <c r="D56" s="11">
        <v>0.83951227582704813</v>
      </c>
      <c r="E56" s="11">
        <v>0.84301140586366474</v>
      </c>
      <c r="F56" s="11">
        <v>0.84650575453888066</v>
      </c>
      <c r="G56" s="11">
        <v>0.84911336271279481</v>
      </c>
      <c r="H56" s="11">
        <v>0.85112451043206772</v>
      </c>
      <c r="I56" s="11">
        <v>0.85336086213758566</v>
      </c>
      <c r="J56" s="11">
        <v>0.85628987435244008</v>
      </c>
      <c r="K56" s="11">
        <v>0.86046008563729237</v>
      </c>
      <c r="L56" s="11">
        <v>0.86439584445254758</v>
      </c>
      <c r="M56" s="11">
        <v>0.86773587537713504</v>
      </c>
      <c r="N56" s="11">
        <v>0.87041058509311664</v>
      </c>
      <c r="O56" s="11">
        <v>0.87237870949616758</v>
      </c>
      <c r="P56" s="11">
        <v>0.87425875736462411</v>
      </c>
      <c r="Q56" s="11">
        <v>0.87562670474025639</v>
      </c>
      <c r="R56" s="11">
        <v>0.87697677332199264</v>
      </c>
      <c r="S56" s="11">
        <v>0.87835571328513706</v>
      </c>
      <c r="T56" s="11">
        <v>0.88048463155503687</v>
      </c>
      <c r="U56" s="11">
        <v>0.88311215786297703</v>
      </c>
      <c r="V56" s="11">
        <v>0.88547322160704522</v>
      </c>
      <c r="W56" s="11">
        <v>0.88695729606079265</v>
      </c>
      <c r="X56" s="11">
        <v>0.887305740745156</v>
      </c>
      <c r="Y56" s="11">
        <v>0.88712355208956672</v>
      </c>
      <c r="Z56" s="11">
        <v>0.8872471348848735</v>
      </c>
      <c r="AA56" s="11">
        <v>0.88731906594555576</v>
      </c>
      <c r="AB56" s="11">
        <v>0.88653839781095922</v>
      </c>
      <c r="AC56" s="11">
        <v>0.88402741161225507</v>
      </c>
      <c r="AD56" s="11">
        <v>0.87954674989728587</v>
      </c>
      <c r="AE56" s="11">
        <v>0.87286705180253343</v>
      </c>
    </row>
    <row r="57" spans="1:31" ht="13">
      <c r="A57" s="9" t="s">
        <v>21</v>
      </c>
      <c r="B57" s="11">
        <v>0.94942908945287952</v>
      </c>
      <c r="C57" s="11">
        <v>0.95042188348708445</v>
      </c>
      <c r="D57" s="11">
        <v>0.9511333171077897</v>
      </c>
      <c r="E57" s="11">
        <v>0.95176736326064248</v>
      </c>
      <c r="F57" s="11">
        <v>0.95259304209339335</v>
      </c>
      <c r="G57" s="11">
        <v>0.95364111269077778</v>
      </c>
      <c r="H57" s="11">
        <v>0.95484425357217828</v>
      </c>
      <c r="I57" s="11">
        <v>0.95631603384294883</v>
      </c>
      <c r="J57" s="11">
        <v>0.95820253155370849</v>
      </c>
      <c r="K57" s="11">
        <v>0.96037759710173731</v>
      </c>
      <c r="L57" s="11">
        <v>0.9622405849607516</v>
      </c>
      <c r="M57" s="11">
        <v>0.9635671137020464</v>
      </c>
      <c r="N57" s="11">
        <v>0.96450397379863628</v>
      </c>
      <c r="O57" s="11">
        <v>0.9655351642949318</v>
      </c>
      <c r="P57" s="11">
        <v>0.96679575704512044</v>
      </c>
      <c r="Q57" s="11">
        <v>0.96807227821419772</v>
      </c>
      <c r="R57" s="11">
        <v>0.96928883067617877</v>
      </c>
      <c r="S57" s="11">
        <v>0.97047655438679903</v>
      </c>
      <c r="T57" s="11">
        <v>0.97162971656002906</v>
      </c>
      <c r="U57" s="11">
        <v>0.97269319981314573</v>
      </c>
      <c r="V57" s="11">
        <v>0.97345535328671018</v>
      </c>
      <c r="W57" s="11">
        <v>0.97387659758682021</v>
      </c>
      <c r="X57" s="11">
        <v>0.97414793985788839</v>
      </c>
      <c r="Y57" s="11">
        <v>0.97452378202097767</v>
      </c>
      <c r="Z57" s="11">
        <v>0.97486717071253004</v>
      </c>
      <c r="AA57" s="11">
        <v>0.97493430225553035</v>
      </c>
      <c r="AB57" s="11">
        <v>0.97466477147945263</v>
      </c>
      <c r="AC57" s="11">
        <v>0.9740817998290604</v>
      </c>
      <c r="AD57" s="11">
        <v>0.9732298920890825</v>
      </c>
      <c r="AE57" s="11">
        <v>0.97153689332489801</v>
      </c>
    </row>
    <row r="58" spans="1:31" ht="13">
      <c r="A58" s="9" t="s">
        <v>22</v>
      </c>
      <c r="B58" s="11">
        <v>0.99094609622913399</v>
      </c>
      <c r="C58" s="11">
        <v>0.99132111388293487</v>
      </c>
      <c r="D58" s="11">
        <v>0.99163643196881279</v>
      </c>
      <c r="E58" s="11">
        <v>0.99193243681349863</v>
      </c>
      <c r="F58" s="11">
        <v>0.99223796324688696</v>
      </c>
      <c r="G58" s="11">
        <v>0.99254012768851041</v>
      </c>
      <c r="H58" s="11">
        <v>0.99284901148997284</v>
      </c>
      <c r="I58" s="11">
        <v>0.99321277453946155</v>
      </c>
      <c r="J58" s="11">
        <v>0.99366969328352228</v>
      </c>
      <c r="K58" s="11">
        <v>0.9941899679069145</v>
      </c>
      <c r="L58" s="11">
        <v>0.9946595175638373</v>
      </c>
      <c r="M58" s="11">
        <v>0.99502148688948777</v>
      </c>
      <c r="N58" s="11">
        <v>0.99531811742848275</v>
      </c>
      <c r="O58" s="11">
        <v>0.99562193449870751</v>
      </c>
      <c r="P58" s="11">
        <v>0.99592100669600991</v>
      </c>
      <c r="Q58" s="11">
        <v>0.99615027695076075</v>
      </c>
      <c r="R58" s="11">
        <v>0.99632603900065275</v>
      </c>
      <c r="S58" s="11">
        <v>0.99651467157061346</v>
      </c>
      <c r="T58" s="11">
        <v>0.99674871829600731</v>
      </c>
      <c r="U58" s="11">
        <v>0.99701687569400388</v>
      </c>
      <c r="V58" s="11">
        <v>0.99726135968345175</v>
      </c>
      <c r="W58" s="11">
        <v>0.99745450439550487</v>
      </c>
      <c r="X58" s="11">
        <v>0.99763841614228921</v>
      </c>
      <c r="Y58" s="11">
        <v>0.99784465821592672</v>
      </c>
      <c r="Z58" s="11">
        <v>0.9980184084398771</v>
      </c>
      <c r="AA58" s="11">
        <v>0.9980884162104946</v>
      </c>
      <c r="AB58" s="11">
        <v>0.99805846562360223</v>
      </c>
      <c r="AC58" s="11">
        <v>0.99797729995006601</v>
      </c>
      <c r="AD58" s="11">
        <v>0.99783519197875847</v>
      </c>
      <c r="AE58" s="11">
        <v>0.99747575182897397</v>
      </c>
    </row>
    <row r="60" spans="1:31" s="6" customFormat="1">
      <c r="A60" s="5" t="s">
        <v>5</v>
      </c>
    </row>
    <row r="61" spans="1:31">
      <c r="A61" s="1" t="s">
        <v>33</v>
      </c>
    </row>
    <row r="63" spans="1:31" ht="13">
      <c r="A63" s="9" t="s">
        <v>23</v>
      </c>
    </row>
    <row r="64" spans="1:31" ht="13">
      <c r="A64" s="9" t="s">
        <v>16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ht="13">
      <c r="A65" s="9" t="s">
        <v>17</v>
      </c>
      <c r="B65" s="11">
        <v>0.73913123565711403</v>
      </c>
      <c r="C65" s="11">
        <v>0.73040556232240639</v>
      </c>
      <c r="D65" s="11">
        <v>0.72003106330748179</v>
      </c>
      <c r="E65" s="11">
        <v>0.70911645829300074</v>
      </c>
      <c r="F65" s="11">
        <v>0.69812517502829752</v>
      </c>
      <c r="G65" s="11">
        <v>0.68663044434678477</v>
      </c>
      <c r="H65" s="11">
        <v>0.67438054775533174</v>
      </c>
      <c r="I65" s="11">
        <v>0.66426260150926297</v>
      </c>
      <c r="J65" s="11">
        <v>0.65885613780667229</v>
      </c>
      <c r="K65" s="11">
        <v>0.65708989602666035</v>
      </c>
      <c r="L65" s="11">
        <v>0.65335424109182749</v>
      </c>
      <c r="M65" s="11">
        <v>0.64669964126433233</v>
      </c>
      <c r="N65" s="11">
        <v>0.6385683191687509</v>
      </c>
      <c r="O65" s="11">
        <v>0.63248423430105294</v>
      </c>
      <c r="P65" s="11">
        <v>0.62891111690695545</v>
      </c>
      <c r="Q65" s="11">
        <v>0.62585652792933788</v>
      </c>
      <c r="R65" s="11">
        <v>0.62168617402261739</v>
      </c>
      <c r="S65" s="11">
        <v>0.61569503769885181</v>
      </c>
      <c r="T65" s="11">
        <v>0.60752718622865054</v>
      </c>
      <c r="U65" s="11">
        <v>0.59778486102266293</v>
      </c>
      <c r="V65" s="11">
        <v>0.58676615590151571</v>
      </c>
      <c r="W65" s="11">
        <v>0.57634995674970912</v>
      </c>
      <c r="X65" s="11">
        <v>0.56824163210695322</v>
      </c>
      <c r="Y65" s="11">
        <v>0.56602907140394254</v>
      </c>
      <c r="Z65" s="11">
        <v>0.56867169503019188</v>
      </c>
      <c r="AA65" s="11">
        <v>0.57394234792695686</v>
      </c>
      <c r="AB65" s="11">
        <v>0.57926080867531771</v>
      </c>
      <c r="AC65" s="11">
        <v>0.58350938673628716</v>
      </c>
      <c r="AD65" s="11">
        <v>0.5902849812434211</v>
      </c>
      <c r="AE65" s="11">
        <v>0.60116761034161892</v>
      </c>
    </row>
    <row r="66" spans="1:31" ht="13">
      <c r="A66" s="9" t="s">
        <v>18</v>
      </c>
      <c r="B66" s="11">
        <v>-4.9281022233553809E-2</v>
      </c>
      <c r="C66" s="11">
        <v>-5.9555700918657216E-2</v>
      </c>
      <c r="D66" s="11">
        <v>-6.9565147640518479E-2</v>
      </c>
      <c r="E66" s="11">
        <v>-8.1217415670024898E-2</v>
      </c>
      <c r="F66" s="11">
        <v>-9.3661216923644167E-2</v>
      </c>
      <c r="G66" s="11">
        <v>-0.10523601286178749</v>
      </c>
      <c r="H66" s="11">
        <v>-0.11777165486718945</v>
      </c>
      <c r="I66" s="11">
        <v>-0.12967422066642859</v>
      </c>
      <c r="J66" s="11">
        <v>-0.14062698805579607</v>
      </c>
      <c r="K66" s="11">
        <v>-0.1490201413304173</v>
      </c>
      <c r="L66" s="11">
        <v>-0.15746892292446296</v>
      </c>
      <c r="M66" s="11">
        <v>-0.16576270909297547</v>
      </c>
      <c r="N66" s="11">
        <v>-0.17419294084717299</v>
      </c>
      <c r="O66" s="11">
        <v>-0.17809348492868679</v>
      </c>
      <c r="P66" s="11">
        <v>-0.17994573792645513</v>
      </c>
      <c r="Q66" s="11">
        <v>-0.18185413764950717</v>
      </c>
      <c r="R66" s="11">
        <v>-0.18760276396274841</v>
      </c>
      <c r="S66" s="11">
        <v>-0.19778974635440119</v>
      </c>
      <c r="T66" s="11">
        <v>-0.21125882619744524</v>
      </c>
      <c r="U66" s="11">
        <v>-0.22626872802446785</v>
      </c>
      <c r="V66" s="11">
        <v>-0.24132477694529544</v>
      </c>
      <c r="W66" s="11">
        <v>-0.25178136215050434</v>
      </c>
      <c r="X66" s="11">
        <v>-0.2579442005409518</v>
      </c>
      <c r="Y66" s="11">
        <v>-0.25780537709612428</v>
      </c>
      <c r="Z66" s="11">
        <v>-0.25366496067006455</v>
      </c>
      <c r="AA66" s="11">
        <v>-0.2442488945817978</v>
      </c>
      <c r="AB66" s="11">
        <v>-0.23129911495497943</v>
      </c>
      <c r="AC66" s="11">
        <v>-0.21591702590315667</v>
      </c>
      <c r="AD66" s="11">
        <v>-0.19708199036083976</v>
      </c>
      <c r="AE66" s="11">
        <v>-0.17485715200549393</v>
      </c>
    </row>
    <row r="67" spans="1:31" ht="13">
      <c r="A67" s="9" t="s">
        <v>19</v>
      </c>
      <c r="B67" s="11">
        <v>-0.8154219287606238</v>
      </c>
      <c r="C67" s="11">
        <v>-0.82890545041459252</v>
      </c>
      <c r="D67" s="11">
        <v>-0.84024848342010272</v>
      </c>
      <c r="E67" s="11">
        <v>-0.85468827861580521</v>
      </c>
      <c r="F67" s="11">
        <v>-0.87332924649747268</v>
      </c>
      <c r="G67" s="11">
        <v>-0.88927740837102331</v>
      </c>
      <c r="H67" s="11">
        <v>-0.90664283645387722</v>
      </c>
      <c r="I67" s="11">
        <v>-0.92115033738425067</v>
      </c>
      <c r="J67" s="11">
        <v>-0.93398747086172451</v>
      </c>
      <c r="K67" s="11">
        <v>-0.94882503622232472</v>
      </c>
      <c r="L67" s="11">
        <v>-0.96344384327876387</v>
      </c>
      <c r="M67" s="11">
        <v>-0.9763721960699383</v>
      </c>
      <c r="N67" s="11">
        <v>-0.98488038589636162</v>
      </c>
      <c r="O67" s="11">
        <v>-0.98804042399610181</v>
      </c>
      <c r="P67" s="11">
        <v>-0.99096809662495278</v>
      </c>
      <c r="Q67" s="11">
        <v>-0.9962295863614733</v>
      </c>
      <c r="R67" s="11">
        <v>-1.0053712971705431</v>
      </c>
      <c r="S67" s="11">
        <v>-1.0171211395335182</v>
      </c>
      <c r="T67" s="11">
        <v>-1.0320100398264029</v>
      </c>
      <c r="U67" s="11">
        <v>-1.049361699952958</v>
      </c>
      <c r="V67" s="11">
        <v>-1.0664519840579605</v>
      </c>
      <c r="W67" s="11">
        <v>-1.0775284947521293</v>
      </c>
      <c r="X67" s="11">
        <v>-1.0816408219983258</v>
      </c>
      <c r="Y67" s="11">
        <v>-1.0792847808137549</v>
      </c>
      <c r="Z67" s="11">
        <v>-1.0771927236947807</v>
      </c>
      <c r="AA67" s="11">
        <v>-1.0711771800936134</v>
      </c>
      <c r="AB67" s="11">
        <v>-1.0622694878282293</v>
      </c>
      <c r="AC67" s="11">
        <v>-1.0452828986171818</v>
      </c>
      <c r="AD67" s="11">
        <v>-1.0192546425850035</v>
      </c>
      <c r="AE67" s="11">
        <v>-0.98364730105428266</v>
      </c>
    </row>
    <row r="68" spans="1:31" ht="13">
      <c r="A68" s="9" t="s">
        <v>20</v>
      </c>
      <c r="B68" s="11">
        <v>-1.7015034300316021</v>
      </c>
      <c r="C68" s="11">
        <v>-1.7226289406324276</v>
      </c>
      <c r="D68" s="11">
        <v>-1.7433454913072481</v>
      </c>
      <c r="E68" s="11">
        <v>-1.7674096022886834</v>
      </c>
      <c r="F68" s="11">
        <v>-1.7919298073684211</v>
      </c>
      <c r="G68" s="11">
        <v>-1.8105596303765095</v>
      </c>
      <c r="H68" s="11">
        <v>-1.8251289876851695</v>
      </c>
      <c r="I68" s="11">
        <v>-1.8415416719141171</v>
      </c>
      <c r="J68" s="11">
        <v>-1.8633865950835895</v>
      </c>
      <c r="K68" s="11">
        <v>-1.8952014964425739</v>
      </c>
      <c r="L68" s="11">
        <v>-1.9260376883378345</v>
      </c>
      <c r="M68" s="11">
        <v>-1.9528589242951044</v>
      </c>
      <c r="N68" s="11">
        <v>-1.9747915376167966</v>
      </c>
      <c r="O68" s="11">
        <v>-1.9911988269614878</v>
      </c>
      <c r="P68" s="11">
        <v>-2.0070919608078199</v>
      </c>
      <c r="Q68" s="11">
        <v>-2.0187949718026075</v>
      </c>
      <c r="R68" s="11">
        <v>-2.0304626623648656</v>
      </c>
      <c r="S68" s="11">
        <v>-2.0425032236840011</v>
      </c>
      <c r="T68" s="11">
        <v>-2.0613438538454707</v>
      </c>
      <c r="U68" s="11">
        <v>-2.0850326038025226</v>
      </c>
      <c r="V68" s="11">
        <v>-2.1067464450734303</v>
      </c>
      <c r="W68" s="11">
        <v>-2.1206099122676654</v>
      </c>
      <c r="X68" s="11">
        <v>-2.1238895584591364</v>
      </c>
      <c r="Y68" s="11">
        <v>-2.1221735735244449</v>
      </c>
      <c r="Z68" s="11">
        <v>-2.1233372830810384</v>
      </c>
      <c r="AA68" s="11">
        <v>-2.12401516665778</v>
      </c>
      <c r="AB68" s="11">
        <v>-2.1166796288887646</v>
      </c>
      <c r="AC68" s="11">
        <v>-2.0934008554069616</v>
      </c>
      <c r="AD68" s="11">
        <v>-2.053005582229007</v>
      </c>
      <c r="AE68" s="11">
        <v>-1.9953061230419231</v>
      </c>
    </row>
    <row r="69" spans="1:31" ht="13">
      <c r="A69" s="9" t="s">
        <v>21</v>
      </c>
      <c r="B69" s="11">
        <v>-2.9585437487797099</v>
      </c>
      <c r="C69" s="11">
        <v>-2.9788888225740981</v>
      </c>
      <c r="D69" s="11">
        <v>-2.9937135120508729</v>
      </c>
      <c r="E69" s="11">
        <v>-3.0071038783446205</v>
      </c>
      <c r="F69" s="11">
        <v>-3.024800803859216</v>
      </c>
      <c r="G69" s="11">
        <v>-3.0477022081814589</v>
      </c>
      <c r="H69" s="11">
        <v>-3.0746231750479103</v>
      </c>
      <c r="I69" s="11">
        <v>-3.108523859652883</v>
      </c>
      <c r="J69" s="11">
        <v>-3.153647403928034</v>
      </c>
      <c r="K69" s="11">
        <v>-3.2082143226990039</v>
      </c>
      <c r="L69" s="11">
        <v>-3.2573367737861463</v>
      </c>
      <c r="M69" s="11">
        <v>-3.2937842641791453</v>
      </c>
      <c r="N69" s="11">
        <v>-3.3203182876835919</v>
      </c>
      <c r="O69" s="11">
        <v>-3.3503306047516679</v>
      </c>
      <c r="P69" s="11">
        <v>-3.3882411131467403</v>
      </c>
      <c r="Q69" s="11">
        <v>-3.4281002323510656</v>
      </c>
      <c r="R69" s="11">
        <v>-3.4675730891561671</v>
      </c>
      <c r="S69" s="11">
        <v>-3.5076239671230529</v>
      </c>
      <c r="T69" s="11">
        <v>-3.548057303776321</v>
      </c>
      <c r="U69" s="11">
        <v>-3.5868081758255217</v>
      </c>
      <c r="V69" s="11">
        <v>-3.6155056810406543</v>
      </c>
      <c r="W69" s="11">
        <v>-3.6317175778045248</v>
      </c>
      <c r="X69" s="11">
        <v>-3.6422975204851968</v>
      </c>
      <c r="Y69" s="11">
        <v>-3.6571344607723795</v>
      </c>
      <c r="Z69" s="11">
        <v>-3.6708803175503748</v>
      </c>
      <c r="AA69" s="11">
        <v>-3.673589245163476</v>
      </c>
      <c r="AB69" s="11">
        <v>-3.6627560128085674</v>
      </c>
      <c r="AC69" s="11">
        <v>-3.6397085826658633</v>
      </c>
      <c r="AD69" s="11">
        <v>-3.606932592991134</v>
      </c>
      <c r="AE69" s="11">
        <v>-3.5447432577842712</v>
      </c>
    </row>
    <row r="70" spans="1:31" ht="13">
      <c r="A70" s="9" t="s">
        <v>22</v>
      </c>
      <c r="B70" s="11">
        <v>-4.700015135388977</v>
      </c>
      <c r="C70" s="11">
        <v>-4.742506868495262</v>
      </c>
      <c r="D70" s="11">
        <v>-4.7796737146114276</v>
      </c>
      <c r="E70" s="11">
        <v>-4.8158563947456718</v>
      </c>
      <c r="F70" s="11">
        <v>-4.8546168819695215</v>
      </c>
      <c r="G70" s="11">
        <v>-4.894475399329191</v>
      </c>
      <c r="H70" s="11">
        <v>-4.9369184850218399</v>
      </c>
      <c r="I70" s="11">
        <v>-4.9893097931710439</v>
      </c>
      <c r="J70" s="11">
        <v>-5.0592330558755938</v>
      </c>
      <c r="K70" s="11">
        <v>-5.1452571111061136</v>
      </c>
      <c r="L70" s="11">
        <v>-5.2297630840880478</v>
      </c>
      <c r="M70" s="11">
        <v>-5.3001295690148353</v>
      </c>
      <c r="N70" s="11">
        <v>-5.3617094702378756</v>
      </c>
      <c r="O70" s="11">
        <v>-5.4289552820360392</v>
      </c>
      <c r="P70" s="11">
        <v>-5.4998620887809064</v>
      </c>
      <c r="Q70" s="11">
        <v>-5.5578261122802601</v>
      </c>
      <c r="R70" s="11">
        <v>-5.6046451087609706</v>
      </c>
      <c r="S70" s="11">
        <v>-5.6574477981010869</v>
      </c>
      <c r="T70" s="11">
        <v>-5.7270781425101216</v>
      </c>
      <c r="U70" s="11">
        <v>-5.8132906834043911</v>
      </c>
      <c r="V70" s="11">
        <v>-5.8989228313216913</v>
      </c>
      <c r="W70" s="11">
        <v>-5.9721558116245959</v>
      </c>
      <c r="X70" s="11">
        <v>-6.0472408034311922</v>
      </c>
      <c r="Y70" s="11">
        <v>-6.1387273275464853</v>
      </c>
      <c r="Z70" s="11">
        <v>-6.2228633241030593</v>
      </c>
      <c r="AA70" s="11">
        <v>-6.258866617311595</v>
      </c>
      <c r="AB70" s="11">
        <v>-6.2433051494185339</v>
      </c>
      <c r="AC70" s="11">
        <v>-6.2023097983001643</v>
      </c>
      <c r="AD70" s="11">
        <v>-6.134340213638164</v>
      </c>
      <c r="AE70" s="11">
        <v>-5.9805485610775406</v>
      </c>
    </row>
    <row r="71" spans="1:31" s="12" customFormat="1" ht="13">
      <c r="A71" s="12" t="s">
        <v>0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3" spans="1:31" s="6" customFormat="1">
      <c r="A73" s="5" t="s">
        <v>6</v>
      </c>
    </row>
    <row r="74" spans="1:31" ht="13">
      <c r="A74" s="1" t="s">
        <v>34</v>
      </c>
    </row>
    <row r="76" spans="1:31" ht="13">
      <c r="A76" s="9" t="s">
        <v>36</v>
      </c>
      <c r="B76" s="10" t="s">
        <v>35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13">
      <c r="A77" s="9" t="s">
        <v>16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ht="13">
      <c r="A78" s="9" t="s">
        <v>17</v>
      </c>
      <c r="B78" s="11">
        <v>0.39994296166666671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ht="13">
      <c r="A79" s="9" t="s">
        <v>18</v>
      </c>
      <c r="B79" s="11">
        <v>1.1408196733333333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ht="13">
      <c r="A80" s="9" t="s">
        <v>19</v>
      </c>
      <c r="B80" s="11">
        <v>1.8230049749999999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ht="13">
      <c r="A81" s="9" t="s">
        <v>20</v>
      </c>
      <c r="B81" s="11">
        <v>2.3110951916666664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ht="13">
      <c r="A82" s="9" t="s">
        <v>21</v>
      </c>
      <c r="B82" s="11">
        <v>2.5724887116666668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ht="13">
      <c r="A83" s="9" t="s">
        <v>22</v>
      </c>
      <c r="B83" s="11">
        <v>2.6563613450000001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s="12" customFormat="1" ht="13">
      <c r="A84" s="12" t="s">
        <v>0</v>
      </c>
      <c r="B84" s="13">
        <v>2.6697853466666666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6" spans="1:31" s="6" customFormat="1">
      <c r="A86" s="5"/>
    </row>
    <row r="87" spans="1:31" ht="13">
      <c r="A87" s="1" t="s">
        <v>37</v>
      </c>
    </row>
    <row r="89" spans="1:31" ht="13">
      <c r="A89" s="9" t="s">
        <v>36</v>
      </c>
      <c r="B89" s="10" t="s">
        <v>35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ht="13">
      <c r="A90" s="9" t="s">
        <v>16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ht="13">
      <c r="A91" s="9" t="s">
        <v>17</v>
      </c>
      <c r="B91" s="11">
        <v>0.14980341478239495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ht="13">
      <c r="A92" s="9" t="s">
        <v>18</v>
      </c>
      <c r="B92" s="11">
        <v>0.42730763907955827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ht="13">
      <c r="A93" s="9" t="s">
        <v>19</v>
      </c>
      <c r="B93" s="11">
        <v>0.68282829452041693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ht="13">
      <c r="A94" s="9" t="s">
        <v>20</v>
      </c>
      <c r="B94" s="11">
        <v>0.86564831684021371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ht="13">
      <c r="A95" s="9" t="s">
        <v>21</v>
      </c>
      <c r="B95" s="11">
        <v>0.96355638286745471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ht="13">
      <c r="A96" s="9" t="s">
        <v>22</v>
      </c>
      <c r="B96" s="11">
        <v>0.99497187978673007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ht="13">
      <c r="A97" s="9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s="6" customFormat="1">
      <c r="A98" s="5"/>
    </row>
    <row r="99" spans="1:31">
      <c r="A99" s="1" t="s">
        <v>42</v>
      </c>
    </row>
    <row r="101" spans="1:31" ht="13">
      <c r="A101" s="9" t="s">
        <v>36</v>
      </c>
      <c r="B101" s="10" t="s">
        <v>35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ht="13">
      <c r="A102" s="9" t="s">
        <v>16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3">
      <c r="A103" s="9" t="s">
        <v>17</v>
      </c>
      <c r="B103" s="11">
        <v>0.64102797285709168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3">
      <c r="A104" s="9" t="s">
        <v>18</v>
      </c>
      <c r="B104" s="11">
        <v>-0.16222360965457111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3">
      <c r="A105" s="9" t="s">
        <v>19</v>
      </c>
      <c r="B105" s="11">
        <v>-0.96361336723916957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3">
      <c r="A106" s="9" t="s">
        <v>20</v>
      </c>
      <c r="B106" s="11">
        <v>-1.9360233104839397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3">
      <c r="A107" s="9" t="s">
        <v>21</v>
      </c>
      <c r="B107" s="11">
        <v>-3.2934842366341379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3">
      <c r="A108" s="9" t="s">
        <v>22</v>
      </c>
      <c r="B108" s="11">
        <v>-5.2901897366405279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3">
      <c r="B109" s="11"/>
    </row>
    <row r="110" spans="1:31" s="6" customFormat="1">
      <c r="A110" s="5" t="s">
        <v>7</v>
      </c>
    </row>
    <row r="113" spans="1:31" ht="13">
      <c r="A113" s="9" t="s">
        <v>29</v>
      </c>
      <c r="B113" s="10">
        <v>1990</v>
      </c>
      <c r="C113" s="10">
        <v>1991</v>
      </c>
      <c r="D113" s="10">
        <v>1992</v>
      </c>
      <c r="E113" s="10">
        <v>1993</v>
      </c>
      <c r="F113" s="10">
        <v>1994</v>
      </c>
      <c r="G113" s="10">
        <v>1995</v>
      </c>
      <c r="H113" s="10">
        <v>1996</v>
      </c>
      <c r="I113" s="10">
        <v>1997</v>
      </c>
      <c r="J113" s="10">
        <v>1998</v>
      </c>
      <c r="K113" s="10">
        <v>1999</v>
      </c>
      <c r="L113" s="10">
        <v>2000</v>
      </c>
      <c r="M113" s="10">
        <v>2001</v>
      </c>
      <c r="N113" s="10">
        <v>2002</v>
      </c>
      <c r="O113" s="10">
        <v>2003</v>
      </c>
      <c r="P113" s="10">
        <v>2004</v>
      </c>
      <c r="Q113" s="10">
        <v>2005</v>
      </c>
      <c r="R113" s="10">
        <v>2006</v>
      </c>
      <c r="S113" s="10">
        <v>2007</v>
      </c>
      <c r="T113" s="10">
        <v>2008</v>
      </c>
      <c r="U113" s="10">
        <v>2009</v>
      </c>
      <c r="V113" s="10">
        <v>2010</v>
      </c>
      <c r="W113" s="10">
        <v>2011</v>
      </c>
      <c r="X113" s="10">
        <v>2012</v>
      </c>
      <c r="Y113" s="10">
        <v>2013</v>
      </c>
      <c r="Z113" s="10">
        <v>2014</v>
      </c>
      <c r="AA113" s="10">
        <v>2015</v>
      </c>
      <c r="AB113" s="10">
        <v>2016</v>
      </c>
      <c r="AC113" s="10">
        <v>2017</v>
      </c>
      <c r="AD113" s="10">
        <v>2018</v>
      </c>
      <c r="AE113" s="10">
        <v>2019</v>
      </c>
    </row>
    <row r="114" spans="1:31" ht="15">
      <c r="A114" s="9" t="s">
        <v>38</v>
      </c>
      <c r="B114" s="11">
        <v>-4.185723844568786E-2</v>
      </c>
      <c r="C114" s="11">
        <v>-5.2685196336947793E-2</v>
      </c>
      <c r="D114" s="11">
        <v>-6.3260855917713132E-2</v>
      </c>
      <c r="E114" s="11">
        <v>-7.5596411997609803E-2</v>
      </c>
      <c r="F114" s="11">
        <v>-8.9621762797606433E-2</v>
      </c>
      <c r="G114" s="11">
        <v>-0.10262765896200869</v>
      </c>
      <c r="H114" s="11">
        <v>-0.11667798118857831</v>
      </c>
      <c r="I114" s="11">
        <v>-0.12885398551380542</v>
      </c>
      <c r="J114" s="11">
        <v>-0.13858610703694943</v>
      </c>
      <c r="K114" s="11">
        <v>-0.14691842717536055</v>
      </c>
      <c r="L114" s="11">
        <v>-0.15585284170379979</v>
      </c>
      <c r="M114" s="11">
        <v>-0.16514508796619382</v>
      </c>
      <c r="N114" s="11">
        <v>-0.17350166919159457</v>
      </c>
      <c r="O114" s="11">
        <v>-0.17788322487457855</v>
      </c>
      <c r="P114" s="11">
        <v>-0.1806675725481508</v>
      </c>
      <c r="Q114" s="11">
        <v>-0.1840757320272142</v>
      </c>
      <c r="R114" s="11">
        <v>-0.19042929570355804</v>
      </c>
      <c r="S114" s="11">
        <v>-0.19973861606302254</v>
      </c>
      <c r="T114" s="11">
        <v>-0.21191389326506585</v>
      </c>
      <c r="U114" s="11">
        <v>-0.22594852231825432</v>
      </c>
      <c r="V114" s="11">
        <v>-0.24033686836724674</v>
      </c>
      <c r="W114" s="11">
        <v>-0.25098663338430821</v>
      </c>
      <c r="X114" s="11">
        <v>-0.25711446347744144</v>
      </c>
      <c r="Y114" s="11">
        <v>-0.25702036216864554</v>
      </c>
      <c r="Z114" s="11">
        <v>-0.25406199644488447</v>
      </c>
      <c r="AA114" s="11">
        <v>-0.24716124224948477</v>
      </c>
      <c r="AB114" s="11">
        <v>-0.23810259803596368</v>
      </c>
      <c r="AC114" s="11">
        <v>-0.22589684592801709</v>
      </c>
      <c r="AD114" s="11">
        <v>-0.20868388390080739</v>
      </c>
      <c r="AE114" s="11">
        <v>-0.18577894757271921</v>
      </c>
    </row>
    <row r="115" spans="1:31" ht="15">
      <c r="A115" s="9" t="s">
        <v>39</v>
      </c>
      <c r="B115" s="11">
        <v>-3.120020771400096</v>
      </c>
      <c r="C115" s="11">
        <v>-3.1480082105672622</v>
      </c>
      <c r="D115" s="11">
        <v>-3.1722442393231831</v>
      </c>
      <c r="E115" s="11">
        <v>-3.1967899584596586</v>
      </c>
      <c r="F115" s="11">
        <v>-3.2237824977323863</v>
      </c>
      <c r="G115" s="11">
        <v>-3.2509124126290536</v>
      </c>
      <c r="H115" s="11">
        <v>-3.2788902159183064</v>
      </c>
      <c r="I115" s="11">
        <v>-3.3131251082460147</v>
      </c>
      <c r="J115" s="11">
        <v>-3.3587556849624058</v>
      </c>
      <c r="K115" s="11">
        <v>-3.4162243100825638</v>
      </c>
      <c r="L115" s="11">
        <v>-3.4710458487373423</v>
      </c>
      <c r="M115" s="11">
        <v>-3.5155909191630283</v>
      </c>
      <c r="N115" s="11">
        <v>-3.5522730985127544</v>
      </c>
      <c r="O115" s="11">
        <v>-3.5901615712497317</v>
      </c>
      <c r="P115" s="11">
        <v>-3.6317317209118225</v>
      </c>
      <c r="Q115" s="11">
        <v>-3.6682404388113112</v>
      </c>
      <c r="R115" s="11">
        <v>-3.7008936200940012</v>
      </c>
      <c r="S115" s="11">
        <v>-3.7358583296360468</v>
      </c>
      <c r="T115" s="11">
        <v>-3.7788264333773043</v>
      </c>
      <c r="U115" s="11">
        <v>-3.8283771543441447</v>
      </c>
      <c r="V115" s="11">
        <v>-3.8737249858119256</v>
      </c>
      <c r="W115" s="11">
        <v>-3.9081611005655952</v>
      </c>
      <c r="X115" s="11">
        <v>-3.937809294125175</v>
      </c>
      <c r="Y115" s="11">
        <v>-3.9726784539477697</v>
      </c>
      <c r="Z115" s="11">
        <v>-4.0056936415781577</v>
      </c>
      <c r="AA115" s="11">
        <v>-4.0188236763776173</v>
      </c>
      <c r="AB115" s="11">
        <v>-4.0075802637052886</v>
      </c>
      <c r="AC115" s="11">
        <v>-3.9784730787909965</v>
      </c>
      <c r="AD115" s="11">
        <v>-3.9314261296194353</v>
      </c>
      <c r="AE115" s="11">
        <v>-3.8401993139679114</v>
      </c>
    </row>
    <row r="116" spans="1:31" ht="15">
      <c r="A116" s="9" t="s">
        <v>40</v>
      </c>
      <c r="B116" s="11">
        <v>-0.16160300134554967</v>
      </c>
      <c r="C116" s="11">
        <v>-0.16160300134554967</v>
      </c>
      <c r="D116" s="11">
        <v>-0.16160300134554967</v>
      </c>
      <c r="E116" s="11">
        <v>-0.16160300134554967</v>
      </c>
      <c r="F116" s="11">
        <v>-0.16160300134554967</v>
      </c>
      <c r="G116" s="11">
        <v>-0.16160300134554967</v>
      </c>
      <c r="H116" s="11">
        <v>-0.16160300134554967</v>
      </c>
      <c r="I116" s="11">
        <v>-0.16160300134554967</v>
      </c>
      <c r="J116" s="11">
        <v>-0.16160300134554967</v>
      </c>
      <c r="K116" s="11">
        <v>-0.16160300134554967</v>
      </c>
      <c r="L116" s="11">
        <v>-0.16160300134554967</v>
      </c>
      <c r="M116" s="11">
        <v>-0.16160300134554967</v>
      </c>
      <c r="N116" s="11">
        <v>-0.16160300134554967</v>
      </c>
      <c r="O116" s="11">
        <v>-0.16160300134554967</v>
      </c>
      <c r="P116" s="11">
        <v>-0.16160300134554967</v>
      </c>
      <c r="Q116" s="11">
        <v>-0.16160300134554967</v>
      </c>
      <c r="R116" s="11">
        <v>-0.16160300134554967</v>
      </c>
      <c r="S116" s="11">
        <v>-0.16160300134554967</v>
      </c>
      <c r="T116" s="11">
        <v>-0.16160300134554967</v>
      </c>
      <c r="U116" s="11">
        <v>-0.16160300134554967</v>
      </c>
      <c r="V116" s="11">
        <v>-0.16160300134554967</v>
      </c>
      <c r="W116" s="11">
        <v>-0.16160300134554967</v>
      </c>
      <c r="X116" s="11">
        <v>-0.16160300134554967</v>
      </c>
      <c r="Y116" s="11">
        <v>-0.16160300134554967</v>
      </c>
      <c r="Z116" s="11">
        <v>-0.16160300134554967</v>
      </c>
      <c r="AA116" s="11">
        <v>-0.16160300134554967</v>
      </c>
      <c r="AB116" s="11">
        <v>-0.16160300134554967</v>
      </c>
      <c r="AC116" s="11">
        <v>-0.16160300134554967</v>
      </c>
      <c r="AD116" s="11">
        <v>-0.16160300134554967</v>
      </c>
      <c r="AE116" s="11">
        <v>-0.16160300134554967</v>
      </c>
    </row>
    <row r="117" spans="1:31" ht="15">
      <c r="A117" s="9" t="s">
        <v>41</v>
      </c>
      <c r="B117" s="11">
        <v>-3.5065657612528689</v>
      </c>
      <c r="C117" s="11">
        <v>-3.5065657612528689</v>
      </c>
      <c r="D117" s="11">
        <v>-3.5065657612528689</v>
      </c>
      <c r="E117" s="11">
        <v>-3.5065657612528689</v>
      </c>
      <c r="F117" s="11">
        <v>-3.5065657612528689</v>
      </c>
      <c r="G117" s="11">
        <v>-3.5065657612528689</v>
      </c>
      <c r="H117" s="11">
        <v>-3.5065657612528689</v>
      </c>
      <c r="I117" s="11">
        <v>-3.5065657612528689</v>
      </c>
      <c r="J117" s="11">
        <v>-3.5065657612528689</v>
      </c>
      <c r="K117" s="11">
        <v>-3.5065657612528689</v>
      </c>
      <c r="L117" s="11">
        <v>-3.5065657612528689</v>
      </c>
      <c r="M117" s="11">
        <v>-3.5065657612528689</v>
      </c>
      <c r="N117" s="11">
        <v>-3.5065657612528689</v>
      </c>
      <c r="O117" s="11">
        <v>-3.5065657612528689</v>
      </c>
      <c r="P117" s="11">
        <v>-3.5065657612528689</v>
      </c>
      <c r="Q117" s="11">
        <v>-3.5065657612528689</v>
      </c>
      <c r="R117" s="11">
        <v>-3.5065657612528689</v>
      </c>
      <c r="S117" s="11">
        <v>-3.5065657612528689</v>
      </c>
      <c r="T117" s="11">
        <v>-3.5065657612528689</v>
      </c>
      <c r="U117" s="11">
        <v>-3.5065657612528689</v>
      </c>
      <c r="V117" s="11">
        <v>-3.5065657612528689</v>
      </c>
      <c r="W117" s="11">
        <v>-3.5065657612528689</v>
      </c>
      <c r="X117" s="11">
        <v>-3.5065657612528689</v>
      </c>
      <c r="Y117" s="11">
        <v>-3.5065657612528689</v>
      </c>
      <c r="Z117" s="11">
        <v>-3.5065657612528689</v>
      </c>
      <c r="AA117" s="11">
        <v>-3.5065657612528689</v>
      </c>
      <c r="AB117" s="11">
        <v>-3.5065657612528689</v>
      </c>
      <c r="AC117" s="11">
        <v>-3.5065657612528689</v>
      </c>
      <c r="AD117" s="11">
        <v>-3.5065657612528689</v>
      </c>
      <c r="AE117" s="11">
        <v>-3.5065657612528689</v>
      </c>
    </row>
    <row r="119" spans="1:31" s="6" customFormat="1">
      <c r="A119" s="5" t="s">
        <v>8</v>
      </c>
    </row>
    <row r="120" spans="1:31">
      <c r="A120" s="1" t="s">
        <v>12</v>
      </c>
    </row>
    <row r="122" spans="1:31" ht="13">
      <c r="A122" s="9" t="s">
        <v>29</v>
      </c>
      <c r="B122" s="10">
        <v>1990</v>
      </c>
      <c r="C122" s="10">
        <v>1991</v>
      </c>
      <c r="D122" s="10">
        <v>1992</v>
      </c>
      <c r="E122" s="10">
        <v>1993</v>
      </c>
      <c r="F122" s="10">
        <v>1994</v>
      </c>
      <c r="G122" s="10">
        <v>1995</v>
      </c>
      <c r="H122" s="10">
        <v>1996</v>
      </c>
      <c r="I122" s="10">
        <v>1997</v>
      </c>
      <c r="J122" s="10">
        <v>1998</v>
      </c>
      <c r="K122" s="10">
        <v>1999</v>
      </c>
      <c r="L122" s="10">
        <v>2000</v>
      </c>
      <c r="M122" s="10">
        <v>2001</v>
      </c>
      <c r="N122" s="10">
        <v>2002</v>
      </c>
      <c r="O122" s="10">
        <v>2003</v>
      </c>
      <c r="P122" s="10">
        <v>2004</v>
      </c>
      <c r="Q122" s="10">
        <v>2005</v>
      </c>
      <c r="R122" s="10">
        <v>2006</v>
      </c>
      <c r="S122" s="10">
        <v>2007</v>
      </c>
      <c r="T122" s="10">
        <v>2008</v>
      </c>
      <c r="U122" s="10">
        <v>2009</v>
      </c>
      <c r="V122" s="10">
        <v>2010</v>
      </c>
      <c r="W122" s="10">
        <v>2011</v>
      </c>
      <c r="X122" s="10">
        <v>2012</v>
      </c>
      <c r="Y122" s="10">
        <v>2013</v>
      </c>
      <c r="Z122" s="10">
        <v>2014</v>
      </c>
      <c r="AA122" s="10">
        <v>2015</v>
      </c>
      <c r="AB122" s="10">
        <v>2016</v>
      </c>
      <c r="AC122" s="10">
        <v>2017</v>
      </c>
      <c r="AD122" s="10">
        <v>2018</v>
      </c>
      <c r="AE122" s="10">
        <v>2019</v>
      </c>
    </row>
    <row r="123" spans="1:31" ht="13">
      <c r="A123" s="9" t="s">
        <v>14</v>
      </c>
      <c r="B123" s="11">
        <v>0.92023850604533985</v>
      </c>
      <c r="C123" s="11">
        <v>0.92536845292593883</v>
      </c>
      <c r="D123" s="11">
        <v>0.92945231578351339</v>
      </c>
      <c r="E123" s="11">
        <v>0.93310262938428934</v>
      </c>
      <c r="F123" s="11">
        <v>0.9369792610252019</v>
      </c>
      <c r="G123" s="11">
        <v>0.94120173515901162</v>
      </c>
      <c r="H123" s="11">
        <v>0.94536545298260533</v>
      </c>
      <c r="I123" s="11">
        <v>0.95196011175336304</v>
      </c>
      <c r="J123" s="11">
        <v>0.9626922058811439</v>
      </c>
      <c r="K123" s="11">
        <v>0.97738184774224146</v>
      </c>
      <c r="L123" s="11">
        <v>0.99110012427325156</v>
      </c>
      <c r="M123" s="11">
        <v>1.0016392024913507</v>
      </c>
      <c r="N123" s="11">
        <v>1.0101073380604026</v>
      </c>
      <c r="O123" s="11">
        <v>1.0201244651434322</v>
      </c>
      <c r="P123" s="11">
        <v>1.0317197517796259</v>
      </c>
      <c r="Q123" s="11">
        <v>1.0416153951085048</v>
      </c>
      <c r="R123" s="11">
        <v>1.0494778496391122</v>
      </c>
      <c r="S123" s="11">
        <v>1.0571477075789633</v>
      </c>
      <c r="T123" s="11">
        <v>1.0663534383297795</v>
      </c>
      <c r="U123" s="11">
        <v>1.0769712222822192</v>
      </c>
      <c r="V123" s="11">
        <v>1.0862267768701113</v>
      </c>
      <c r="W123" s="11">
        <v>1.0933378724020888</v>
      </c>
      <c r="X123" s="11">
        <v>1.1003694494792273</v>
      </c>
      <c r="Y123" s="11">
        <v>1.1108219608047523</v>
      </c>
      <c r="Z123" s="11">
        <v>1.1215765060527076</v>
      </c>
      <c r="AA123" s="11">
        <v>1.1275648504477331</v>
      </c>
      <c r="AB123" s="11">
        <v>1.1269116986443726</v>
      </c>
      <c r="AC123" s="11">
        <v>1.1218588971576338</v>
      </c>
      <c r="AD123" s="11">
        <v>1.1129398181466679</v>
      </c>
      <c r="AE123" s="11">
        <v>1.0925145147195741</v>
      </c>
    </row>
    <row r="124" spans="1:31" ht="13">
      <c r="A124" s="9" t="s">
        <v>15</v>
      </c>
      <c r="B124" s="11">
        <v>0.1068560660849838</v>
      </c>
      <c r="C124" s="11">
        <v>9.685712300637192E-2</v>
      </c>
      <c r="D124" s="11">
        <v>8.694142792047424E-2</v>
      </c>
      <c r="E124" s="11">
        <v>7.5195773474315442E-2</v>
      </c>
      <c r="F124" s="11">
        <v>6.1796897982601393E-2</v>
      </c>
      <c r="G124" s="11">
        <v>4.9473366311326747E-2</v>
      </c>
      <c r="H124" s="11">
        <v>3.6095913381805844E-2</v>
      </c>
      <c r="I124" s="11">
        <v>2.4985625706782921E-2</v>
      </c>
      <c r="J124" s="11">
        <v>1.6987842805411241E-2</v>
      </c>
      <c r="K124" s="11">
        <v>1.1029412880444706E-2</v>
      </c>
      <c r="L124" s="11">
        <v>4.311913012704921E-3</v>
      </c>
      <c r="M124" s="11">
        <v>-3.2771865782287579E-3</v>
      </c>
      <c r="N124" s="11">
        <v>-1.0265291679869726E-2</v>
      </c>
      <c r="O124" s="11">
        <v>-1.3028049561376348E-2</v>
      </c>
      <c r="P124" s="11">
        <v>-1.3938564113077728E-2</v>
      </c>
      <c r="Q124" s="11">
        <v>-1.5747557929949252E-2</v>
      </c>
      <c r="R124" s="11">
        <v>-2.0830525356204027E-2</v>
      </c>
      <c r="S124" s="11">
        <v>-2.89003736526946E-2</v>
      </c>
      <c r="T124" s="11">
        <v>-3.9587977135826985E-2</v>
      </c>
      <c r="U124" s="11">
        <v>-5.190674043466259E-2</v>
      </c>
      <c r="V124" s="11">
        <v>-6.4799361083134083E-2</v>
      </c>
      <c r="W124" s="11">
        <v>-7.4299951719373036E-2</v>
      </c>
      <c r="X124" s="11">
        <v>-7.9291457852648101E-2</v>
      </c>
      <c r="Y124" s="11">
        <v>-7.7508199342049056E-2</v>
      </c>
      <c r="Z124" s="11">
        <v>-7.281186682811186E-2</v>
      </c>
      <c r="AA124" s="11">
        <v>-6.4943378205385233E-2</v>
      </c>
      <c r="AB124" s="11">
        <v>-5.599028528362146E-2</v>
      </c>
      <c r="AC124" s="11">
        <v>-4.4601081061135139E-2</v>
      </c>
      <c r="AD124" s="11">
        <v>-2.882946897133562E-2</v>
      </c>
      <c r="AE124" s="11">
        <v>-9.2253229804593329E-3</v>
      </c>
    </row>
    <row r="125" spans="1:31" ht="13">
      <c r="A125" s="9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3">
      <c r="A126" s="9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39" spans="1:32" s="6" customFormat="1">
      <c r="A139" s="5" t="s">
        <v>9</v>
      </c>
    </row>
    <row r="140" spans="1:32">
      <c r="A140" s="1" t="s">
        <v>43</v>
      </c>
    </row>
    <row r="142" spans="1:32" ht="13">
      <c r="A142" s="9" t="s">
        <v>23</v>
      </c>
      <c r="B142" s="10">
        <v>1990</v>
      </c>
      <c r="C142" s="10">
        <v>1991</v>
      </c>
      <c r="D142" s="10">
        <v>1992</v>
      </c>
      <c r="E142" s="10">
        <v>1993</v>
      </c>
      <c r="F142" s="10">
        <v>1994</v>
      </c>
      <c r="G142" s="10">
        <v>1995</v>
      </c>
      <c r="H142" s="10">
        <v>1996</v>
      </c>
      <c r="I142" s="10">
        <v>1997</v>
      </c>
      <c r="J142" s="10">
        <v>1998</v>
      </c>
      <c r="K142" s="10">
        <v>1999</v>
      </c>
      <c r="L142" s="10">
        <v>2000</v>
      </c>
      <c r="M142" s="10">
        <v>2001</v>
      </c>
      <c r="N142" s="10">
        <v>2002</v>
      </c>
      <c r="O142" s="10">
        <v>2003</v>
      </c>
      <c r="P142" s="10">
        <v>2004</v>
      </c>
      <c r="Q142" s="10">
        <v>2005</v>
      </c>
      <c r="R142" s="10">
        <v>2006</v>
      </c>
      <c r="S142" s="10">
        <v>2007</v>
      </c>
      <c r="T142" s="10">
        <v>2008</v>
      </c>
      <c r="U142" s="10">
        <v>2009</v>
      </c>
      <c r="V142" s="10">
        <v>2010</v>
      </c>
      <c r="W142" s="10">
        <v>2011</v>
      </c>
      <c r="X142" s="10">
        <v>2012</v>
      </c>
      <c r="Y142" s="10">
        <v>2013</v>
      </c>
      <c r="Z142" s="10">
        <v>2014</v>
      </c>
      <c r="AA142" s="10">
        <v>2015</v>
      </c>
      <c r="AB142" s="10">
        <v>2016</v>
      </c>
      <c r="AC142" s="10">
        <v>2017</v>
      </c>
      <c r="AD142" s="10">
        <v>2018</v>
      </c>
      <c r="AE142" s="10">
        <v>2019</v>
      </c>
    </row>
    <row r="143" spans="1:32" ht="13">
      <c r="A143" s="9" t="s">
        <v>16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2" ht="13">
      <c r="A144" s="9" t="s">
        <v>17</v>
      </c>
      <c r="B144" s="11">
        <v>0.69675469016026648</v>
      </c>
      <c r="C144" s="11">
        <v>0.69004418653138955</v>
      </c>
      <c r="D144" s="11">
        <v>0.6827463617745092</v>
      </c>
      <c r="E144" s="11">
        <v>0.67334066045614849</v>
      </c>
      <c r="F144" s="11">
        <v>0.66242681428672234</v>
      </c>
      <c r="G144" s="11">
        <v>0.6528100066498852</v>
      </c>
      <c r="H144" s="11">
        <v>0.6421016133163715</v>
      </c>
      <c r="I144" s="11">
        <v>0.63521868638485168</v>
      </c>
      <c r="J144" s="11">
        <v>0.63410047602672281</v>
      </c>
      <c r="K144" s="11">
        <v>0.63755851744597236</v>
      </c>
      <c r="L144" s="11">
        <v>0.63963481657399901</v>
      </c>
      <c r="M144" s="11">
        <v>0.63880156092899576</v>
      </c>
      <c r="N144" s="11">
        <v>0.63724176760506324</v>
      </c>
      <c r="O144" s="11">
        <v>0.64090026839144287</v>
      </c>
      <c r="P144" s="11">
        <v>0.64742265692683776</v>
      </c>
      <c r="Q144" s="11">
        <v>0.65195704729319415</v>
      </c>
      <c r="R144" s="11">
        <v>0.6519141331563757</v>
      </c>
      <c r="S144" s="11">
        <v>0.64876087834716978</v>
      </c>
      <c r="T144" s="11">
        <v>0.64397440578590126</v>
      </c>
      <c r="U144" s="11">
        <v>0.63846193901033266</v>
      </c>
      <c r="V144" s="11">
        <v>0.63150238775700573</v>
      </c>
      <c r="W144" s="11">
        <v>0.62656020827442349</v>
      </c>
      <c r="X144" s="11">
        <v>0.62607613974089493</v>
      </c>
      <c r="Y144" s="11">
        <v>0.63455975039776114</v>
      </c>
      <c r="Z144" s="11">
        <v>0.6461500472509949</v>
      </c>
      <c r="AA144" s="11">
        <v>0.65785723214203495</v>
      </c>
      <c r="AB144" s="11">
        <v>0.66639163648732247</v>
      </c>
      <c r="AC144" s="11">
        <v>0.67454185361551533</v>
      </c>
      <c r="AD144" s="11">
        <v>0.68459608656716309</v>
      </c>
      <c r="AE144" s="11">
        <v>0.69110704170717852</v>
      </c>
      <c r="AF144" s="11"/>
    </row>
    <row r="145" spans="1:32" ht="13">
      <c r="A145" s="9" t="s">
        <v>18</v>
      </c>
      <c r="B145" s="11">
        <v>-4.2428346108821097E-2</v>
      </c>
      <c r="C145" s="11">
        <v>-5.3259487687739943E-2</v>
      </c>
      <c r="D145" s="11">
        <v>-6.3837681747727609E-2</v>
      </c>
      <c r="E145" s="11">
        <v>-7.6175503242575437E-2</v>
      </c>
      <c r="F145" s="11">
        <v>-9.0203259912379444E-2</v>
      </c>
      <c r="G145" s="11">
        <v>-0.10321177657931378</v>
      </c>
      <c r="H145" s="11">
        <v>-0.11726468284376113</v>
      </c>
      <c r="I145" s="11">
        <v>-0.12944477986901654</v>
      </c>
      <c r="J145" s="11">
        <v>-0.13918356181894945</v>
      </c>
      <c r="K145" s="11">
        <v>-0.14752499847115613</v>
      </c>
      <c r="L145" s="11">
        <v>-0.15646792667599596</v>
      </c>
      <c r="M145" s="11">
        <v>-0.16576671357790154</v>
      </c>
      <c r="N145" s="11">
        <v>-0.17412855019859838</v>
      </c>
      <c r="O145" s="11">
        <v>-0.17851632259388264</v>
      </c>
      <c r="P145" s="11">
        <v>-0.18130786639868676</v>
      </c>
      <c r="Q145" s="11">
        <v>-0.1847221671962232</v>
      </c>
      <c r="R145" s="11">
        <v>-0.19108061037717802</v>
      </c>
      <c r="S145" s="11">
        <v>-0.20039469071420901</v>
      </c>
      <c r="T145" s="11">
        <v>-0.2125756810692469</v>
      </c>
      <c r="U145" s="11">
        <v>-0.22661689960737966</v>
      </c>
      <c r="V145" s="11">
        <v>-0.24101098973045393</v>
      </c>
      <c r="W145" s="11">
        <v>-0.25166516795248878</v>
      </c>
      <c r="X145" s="11">
        <v>-0.25779736190078162</v>
      </c>
      <c r="Y145" s="11">
        <v>-0.25770974750736447</v>
      </c>
      <c r="Z145" s="11">
        <v>-0.25475805614374403</v>
      </c>
      <c r="AA145" s="11">
        <v>-0.24786101836463315</v>
      </c>
      <c r="AB145" s="11">
        <v>-0.23880196879967583</v>
      </c>
      <c r="AC145" s="11">
        <v>-0.22659308088114274</v>
      </c>
      <c r="AD145" s="11">
        <v>-0.20937458359939001</v>
      </c>
      <c r="AE145" s="11">
        <v>-0.18645697115828069</v>
      </c>
      <c r="AF145" s="11"/>
    </row>
    <row r="146" spans="1:32" ht="13">
      <c r="A146" s="9" t="s">
        <v>19</v>
      </c>
      <c r="B146" s="11">
        <v>-0.77989805938850909</v>
      </c>
      <c r="C146" s="11">
        <v>-0.7948402878544929</v>
      </c>
      <c r="D146" s="11">
        <v>-0.80869124777992107</v>
      </c>
      <c r="E146" s="11">
        <v>-0.8239543932064024</v>
      </c>
      <c r="F146" s="11">
        <v>-0.84108884276716223</v>
      </c>
      <c r="G146" s="11">
        <v>-0.85748120695659757</v>
      </c>
      <c r="H146" s="11">
        <v>-0.87487087403834529</v>
      </c>
      <c r="I146" s="11">
        <v>-0.89233586305725132</v>
      </c>
      <c r="J146" s="11">
        <v>-0.91067523531862171</v>
      </c>
      <c r="K146" s="11">
        <v>-0.93078880050089796</v>
      </c>
      <c r="L146" s="11">
        <v>-0.95072541500940244</v>
      </c>
      <c r="M146" s="11">
        <v>-0.96847011124967564</v>
      </c>
      <c r="N146" s="11">
        <v>-0.9836182249812484</v>
      </c>
      <c r="O146" s="11">
        <v>-0.99603362042129595</v>
      </c>
      <c r="P146" s="11">
        <v>-1.0081175081726033</v>
      </c>
      <c r="Q146" s="11">
        <v>-1.0194620761786135</v>
      </c>
      <c r="R146" s="11">
        <v>-1.0321214098898719</v>
      </c>
      <c r="S146" s="11">
        <v>-1.0475820358220282</v>
      </c>
      <c r="T146" s="11">
        <v>-1.067140404511852</v>
      </c>
      <c r="U146" s="11">
        <v>-1.0896906063577161</v>
      </c>
      <c r="V146" s="11">
        <v>-1.1115020031282921</v>
      </c>
      <c r="W146" s="11">
        <v>-1.1278549404748592</v>
      </c>
      <c r="X146" s="11">
        <v>-1.1396221682724375</v>
      </c>
      <c r="Y146" s="11">
        <v>-1.1479110893963331</v>
      </c>
      <c r="Z146" s="11">
        <v>-1.1535779804419044</v>
      </c>
      <c r="AA146" s="11">
        <v>-1.151479940525856</v>
      </c>
      <c r="AB146" s="11">
        <v>-1.1418974617955375</v>
      </c>
      <c r="AC146" s="11">
        <v>-1.1256393105184239</v>
      </c>
      <c r="AD146" s="11">
        <v>-1.1012731546701953</v>
      </c>
      <c r="AE146" s="11">
        <v>-1.0619869132670554</v>
      </c>
      <c r="AF146" s="11"/>
    </row>
    <row r="147" spans="1:32" ht="13">
      <c r="A147" s="9" t="s">
        <v>20</v>
      </c>
      <c r="B147" s="11">
        <v>-1.67474713282371</v>
      </c>
      <c r="C147" s="11">
        <v>-1.694677772644706</v>
      </c>
      <c r="D147" s="11">
        <v>-1.7124999214196874</v>
      </c>
      <c r="E147" s="11">
        <v>-1.731312668087525</v>
      </c>
      <c r="F147" s="11">
        <v>-1.7522167928022054</v>
      </c>
      <c r="G147" s="11">
        <v>-1.7727151328244513</v>
      </c>
      <c r="H147" s="11">
        <v>-1.7941536405187271</v>
      </c>
      <c r="I147" s="11">
        <v>-1.8180313412986242</v>
      </c>
      <c r="J147" s="11">
        <v>-1.8468067086016873</v>
      </c>
      <c r="K147" s="11">
        <v>-1.8812046275923995</v>
      </c>
      <c r="L147" s="11">
        <v>-1.9144810306038396</v>
      </c>
      <c r="M147" s="11">
        <v>-1.9424740312960269</v>
      </c>
      <c r="N147" s="11">
        <v>-1.9658566442556906</v>
      </c>
      <c r="O147" s="11">
        <v>-1.9880127936740224</v>
      </c>
      <c r="P147" s="11">
        <v>-2.0113720534451378</v>
      </c>
      <c r="Q147" s="11">
        <v>-2.0323392434189533</v>
      </c>
      <c r="R147" s="11">
        <v>-2.0526441060940841</v>
      </c>
      <c r="S147" s="11">
        <v>-2.0755629781502272</v>
      </c>
      <c r="T147" s="11">
        <v>-2.1040730909569785</v>
      </c>
      <c r="U147" s="11">
        <v>-2.1369481314934196</v>
      </c>
      <c r="V147" s="11">
        <v>-2.1677597215755062</v>
      </c>
      <c r="W147" s="11">
        <v>-2.1910275589247323</v>
      </c>
      <c r="X147" s="11">
        <v>-2.2096323621888123</v>
      </c>
      <c r="Y147" s="11">
        <v>-2.2280854092575266</v>
      </c>
      <c r="Z147" s="11">
        <v>-2.2442101270372854</v>
      </c>
      <c r="AA147" s="11">
        <v>-2.247935212754534</v>
      </c>
      <c r="AB147" s="11">
        <v>-2.2377176027161796</v>
      </c>
      <c r="AC147" s="11">
        <v>-2.2165460570321192</v>
      </c>
      <c r="AD147" s="11">
        <v>-2.1835069000690415</v>
      </c>
      <c r="AE147" s="11">
        <v>-2.1243588905196042</v>
      </c>
      <c r="AF147" s="11"/>
    </row>
    <row r="148" spans="1:32" ht="13">
      <c r="A148" s="9" t="s">
        <v>21</v>
      </c>
      <c r="B148" s="11">
        <v>-2.9239349475190917</v>
      </c>
      <c r="C148" s="11">
        <v>-2.9508292897837269</v>
      </c>
      <c r="D148" s="11">
        <v>-2.974195122815622</v>
      </c>
      <c r="E148" s="11">
        <v>-2.9979630275647073</v>
      </c>
      <c r="F148" s="11">
        <v>-3.0241295282570042</v>
      </c>
      <c r="G148" s="11">
        <v>-3.0503597119275767</v>
      </c>
      <c r="H148" s="11">
        <v>-3.0774503038748962</v>
      </c>
      <c r="I148" s="11">
        <v>-3.1102799962573906</v>
      </c>
      <c r="J148" s="11">
        <v>-3.1536237619946825</v>
      </c>
      <c r="K148" s="11">
        <v>-3.2079622958309746</v>
      </c>
      <c r="L148" s="11">
        <v>-3.2598607232073844</v>
      </c>
      <c r="M148" s="11">
        <v>-3.3021601107782814</v>
      </c>
      <c r="N148" s="11">
        <v>-3.3370378868902759</v>
      </c>
      <c r="O148" s="11">
        <v>-3.3727918949161015</v>
      </c>
      <c r="P148" s="11">
        <v>-3.4118913032233613</v>
      </c>
      <c r="Q148" s="11">
        <v>-3.4462914423552489</v>
      </c>
      <c r="R148" s="11">
        <v>-3.4772692798393119</v>
      </c>
      <c r="S148" s="11">
        <v>-3.5105996843579255</v>
      </c>
      <c r="T148" s="11">
        <v>-3.5516062169555691</v>
      </c>
      <c r="U148" s="11">
        <v>-3.5988944843297519</v>
      </c>
      <c r="V148" s="11">
        <v>-3.6422701281147525</v>
      </c>
      <c r="W148" s="11">
        <v>-3.6751909997907588</v>
      </c>
      <c r="X148" s="11">
        <v>-3.703340894186268</v>
      </c>
      <c r="Y148" s="11">
        <v>-3.7359828169595248</v>
      </c>
      <c r="Z148" s="11">
        <v>-3.766706409691897</v>
      </c>
      <c r="AA148" s="11">
        <v>-3.7785604389377236</v>
      </c>
      <c r="AB148" s="11">
        <v>-3.7674562008474628</v>
      </c>
      <c r="AC148" s="11">
        <v>-3.7394256745775607</v>
      </c>
      <c r="AD148" s="11">
        <v>-3.6942792163598503</v>
      </c>
      <c r="AE148" s="11">
        <v>-3.6074046555033714</v>
      </c>
      <c r="AF148" s="11"/>
    </row>
    <row r="149" spans="1:32" ht="13">
      <c r="A149" s="9" t="s">
        <v>22</v>
      </c>
      <c r="B149" s="11">
        <v>-4.7613802338574853</v>
      </c>
      <c r="C149" s="11">
        <v>-4.7985175692733533</v>
      </c>
      <c r="D149" s="11">
        <v>-4.830037673734239</v>
      </c>
      <c r="E149" s="11">
        <v>-4.8610941797267424</v>
      </c>
      <c r="F149" s="11">
        <v>-4.8950011721379481</v>
      </c>
      <c r="G149" s="11">
        <v>-4.9296623931351329</v>
      </c>
      <c r="H149" s="11">
        <v>-4.9650667033612965</v>
      </c>
      <c r="I149" s="11">
        <v>-5.0110639871820277</v>
      </c>
      <c r="J149" s="11">
        <v>-5.0758365842908457</v>
      </c>
      <c r="K149" s="11">
        <v>-5.1595060068243157</v>
      </c>
      <c r="L149" s="11">
        <v>-5.2387957924008024</v>
      </c>
      <c r="M149" s="11">
        <v>-5.3021386154147763</v>
      </c>
      <c r="N149" s="11">
        <v>-5.3539247643922963</v>
      </c>
      <c r="O149" s="11">
        <v>-5.4096800251590702</v>
      </c>
      <c r="P149" s="11">
        <v>-5.4719318060669675</v>
      </c>
      <c r="Q149" s="11">
        <v>-5.5260906306597297</v>
      </c>
      <c r="R149" s="11">
        <v>-5.5727674743486064</v>
      </c>
      <c r="S149" s="11">
        <v>-5.6214123263999882</v>
      </c>
      <c r="T149" s="11">
        <v>-5.6807999922193648</v>
      </c>
      <c r="U149" s="11">
        <v>-5.7492888472092636</v>
      </c>
      <c r="V149" s="11">
        <v>-5.8111451077455172</v>
      </c>
      <c r="W149" s="11">
        <v>-5.8582647429812944</v>
      </c>
      <c r="X149" s="11">
        <v>-5.9004546260004442</v>
      </c>
      <c r="Y149" s="11">
        <v>-5.9539671356262565</v>
      </c>
      <c r="Z149" s="11">
        <v>-6.0061643880052893</v>
      </c>
      <c r="AA149" s="11">
        <v>-6.0299753774405955</v>
      </c>
      <c r="AB149" s="11">
        <v>-6.0175669875522244</v>
      </c>
      <c r="AC149" s="11">
        <v>-5.9794475047633107</v>
      </c>
      <c r="AD149" s="11">
        <v>-5.9164922724294131</v>
      </c>
      <c r="AE149" s="11">
        <v>-5.7888343958807571</v>
      </c>
      <c r="AF149" s="11"/>
    </row>
    <row r="151" spans="1:32" s="6" customFormat="1">
      <c r="A151" s="5" t="s">
        <v>10</v>
      </c>
    </row>
    <row r="152" spans="1:32">
      <c r="A152" s="1" t="s">
        <v>13</v>
      </c>
    </row>
    <row r="154" spans="1:32" ht="13">
      <c r="A154" s="9" t="s">
        <v>23</v>
      </c>
      <c r="B154" s="10">
        <v>1990</v>
      </c>
      <c r="C154" s="10">
        <v>1991</v>
      </c>
      <c r="D154" s="10">
        <v>1992</v>
      </c>
      <c r="E154" s="10">
        <v>1993</v>
      </c>
      <c r="F154" s="10">
        <v>1994</v>
      </c>
      <c r="G154" s="10">
        <v>1995</v>
      </c>
      <c r="H154" s="10">
        <v>1996</v>
      </c>
      <c r="I154" s="10">
        <v>1997</v>
      </c>
      <c r="J154" s="10">
        <v>1998</v>
      </c>
      <c r="K154" s="10">
        <v>1999</v>
      </c>
      <c r="L154" s="10">
        <v>2000</v>
      </c>
      <c r="M154" s="10">
        <v>2001</v>
      </c>
      <c r="N154" s="10">
        <v>2002</v>
      </c>
      <c r="O154" s="10">
        <v>2003</v>
      </c>
      <c r="P154" s="10">
        <v>2004</v>
      </c>
      <c r="Q154" s="10">
        <v>2005</v>
      </c>
      <c r="R154" s="10">
        <v>2006</v>
      </c>
      <c r="S154" s="10">
        <v>2007</v>
      </c>
      <c r="T154" s="10">
        <v>2008</v>
      </c>
      <c r="U154" s="10">
        <v>2009</v>
      </c>
      <c r="V154" s="10">
        <v>2010</v>
      </c>
      <c r="W154" s="10">
        <v>2011</v>
      </c>
      <c r="X154" s="10">
        <v>2012</v>
      </c>
      <c r="Y154" s="10">
        <v>2013</v>
      </c>
      <c r="Z154" s="10">
        <v>2014</v>
      </c>
      <c r="AA154" s="10">
        <v>2015</v>
      </c>
      <c r="AB154" s="10">
        <v>2016</v>
      </c>
      <c r="AC154" s="10">
        <v>2017</v>
      </c>
      <c r="AD154" s="10">
        <v>2018</v>
      </c>
      <c r="AE154" s="10">
        <v>2019</v>
      </c>
    </row>
    <row r="155" spans="1:32" ht="13">
      <c r="A155" s="9" t="s">
        <v>16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2" ht="13">
      <c r="A156" s="9" t="s">
        <v>17</v>
      </c>
      <c r="B156" s="11">
        <v>0.13436059995209226</v>
      </c>
      <c r="C156" s="11">
        <v>0.13617647412264139</v>
      </c>
      <c r="D156" s="11">
        <v>0.13816506776765039</v>
      </c>
      <c r="E156" s="11">
        <v>0.14074906136644769</v>
      </c>
      <c r="F156" s="11">
        <v>0.14377676603942843</v>
      </c>
      <c r="G156" s="11">
        <v>0.14647052266373251</v>
      </c>
      <c r="H156" s="11">
        <v>0.14949822787827546</v>
      </c>
      <c r="I156" s="11">
        <v>0.15145982773887828</v>
      </c>
      <c r="J156" s="11">
        <v>0.15177964969142088</v>
      </c>
      <c r="K156" s="11">
        <v>0.15079163405536347</v>
      </c>
      <c r="L156" s="11">
        <v>0.15019986441317817</v>
      </c>
      <c r="M156" s="11">
        <v>0.15043722011802282</v>
      </c>
      <c r="N156" s="11">
        <v>0.15088200797730786</v>
      </c>
      <c r="O156" s="11">
        <v>0.14983973493134664</v>
      </c>
      <c r="P156" s="11">
        <v>0.14799005848933852</v>
      </c>
      <c r="Q156" s="11">
        <v>0.14671060534647504</v>
      </c>
      <c r="R156" s="11">
        <v>0.14672268937675889</v>
      </c>
      <c r="S156" s="11">
        <v>0.14761190529759002</v>
      </c>
      <c r="T156" s="11">
        <v>0.14896658468301202</v>
      </c>
      <c r="U156" s="11">
        <v>0.15053401333758337</v>
      </c>
      <c r="V156" s="11">
        <v>0.15252395725563203</v>
      </c>
      <c r="W156" s="11">
        <v>0.15394450705518459</v>
      </c>
      <c r="X156" s="11">
        <v>0.15408397494629475</v>
      </c>
      <c r="Y156" s="11">
        <v>0.15164825319796063</v>
      </c>
      <c r="Z156" s="11">
        <v>0.14835009893600051</v>
      </c>
      <c r="AA156" s="11">
        <v>0.14505374324550674</v>
      </c>
      <c r="AB156" s="11">
        <v>0.14267322135165972</v>
      </c>
      <c r="AC156" s="11">
        <v>0.14041775048094174</v>
      </c>
      <c r="AD156" s="11">
        <v>0.13765968018402319</v>
      </c>
      <c r="AE156" s="11">
        <v>0.13588805167991502</v>
      </c>
      <c r="AF156" s="11"/>
    </row>
    <row r="157" spans="1:32" ht="13">
      <c r="A157" s="9" t="s">
        <v>18</v>
      </c>
      <c r="B157" s="11">
        <v>0.38348332493399517</v>
      </c>
      <c r="C157" s="11">
        <v>0.38746337473367937</v>
      </c>
      <c r="D157" s="11">
        <v>0.39134832170336414</v>
      </c>
      <c r="E157" s="11">
        <v>0.39587627176659074</v>
      </c>
      <c r="F157" s="11">
        <v>0.40101941412260839</v>
      </c>
      <c r="G157" s="11">
        <v>0.40578332490263391</v>
      </c>
      <c r="H157" s="11">
        <v>0.41092286176009596</v>
      </c>
      <c r="I157" s="11">
        <v>0.41537103308659873</v>
      </c>
      <c r="J157" s="11">
        <v>0.418922934795604</v>
      </c>
      <c r="K157" s="11">
        <v>0.42196164050742946</v>
      </c>
      <c r="L157" s="11">
        <v>0.42521559979472706</v>
      </c>
      <c r="M157" s="11">
        <v>0.42859457152261493</v>
      </c>
      <c r="N157" s="11">
        <v>0.43162898780348197</v>
      </c>
      <c r="O157" s="11">
        <v>0.43321965087807651</v>
      </c>
      <c r="P157" s="11">
        <v>0.43423105418715785</v>
      </c>
      <c r="Q157" s="11">
        <v>0.4354674513907475</v>
      </c>
      <c r="R157" s="11">
        <v>0.43776808463171596</v>
      </c>
      <c r="S157" s="11">
        <v>0.44113352507512044</v>
      </c>
      <c r="T157" s="11">
        <v>0.44552624345991854</v>
      </c>
      <c r="U157" s="11">
        <v>0.45057706934283553</v>
      </c>
      <c r="V157" s="11">
        <v>0.45573991672265141</v>
      </c>
      <c r="W157" s="11">
        <v>0.4595511493762986</v>
      </c>
      <c r="X157" s="11">
        <v>0.46174069800292594</v>
      </c>
      <c r="Y157" s="11">
        <v>0.46170943591609814</v>
      </c>
      <c r="Z157" s="11">
        <v>0.46065586710512779</v>
      </c>
      <c r="AA157" s="11">
        <v>0.45819134122284338</v>
      </c>
      <c r="AB157" s="11">
        <v>0.45494860132736786</v>
      </c>
      <c r="AC157" s="11">
        <v>0.45056851335421033</v>
      </c>
      <c r="AD157" s="11">
        <v>0.44437283199370414</v>
      </c>
      <c r="AE157" s="11">
        <v>0.43609539200034692</v>
      </c>
      <c r="AF157" s="11"/>
    </row>
    <row r="158" spans="1:32" ht="13">
      <c r="A158" s="9" t="s">
        <v>19</v>
      </c>
      <c r="B158" s="11">
        <v>0.6322611590301318</v>
      </c>
      <c r="C158" s="11">
        <v>0.63657479142170492</v>
      </c>
      <c r="D158" s="11">
        <v>0.64054195495073651</v>
      </c>
      <c r="E158" s="11">
        <v>0.64487843449976512</v>
      </c>
      <c r="F158" s="11">
        <v>0.64970249922333922</v>
      </c>
      <c r="G158" s="11">
        <v>0.65427385051638787</v>
      </c>
      <c r="H158" s="11">
        <v>0.65907637831908505</v>
      </c>
      <c r="I158" s="11">
        <v>0.66385094402210854</v>
      </c>
      <c r="J158" s="11">
        <v>0.66881183786966736</v>
      </c>
      <c r="K158" s="11">
        <v>0.67419047177424285</v>
      </c>
      <c r="L158" s="11">
        <v>0.67945751079876238</v>
      </c>
      <c r="M158" s="11">
        <v>0.68409161050681855</v>
      </c>
      <c r="N158" s="11">
        <v>0.68800746377332878</v>
      </c>
      <c r="O158" s="11">
        <v>0.69118933709041752</v>
      </c>
      <c r="P158" s="11">
        <v>0.69426241900155272</v>
      </c>
      <c r="Q158" s="11">
        <v>0.69712610097773731</v>
      </c>
      <c r="R158" s="11">
        <v>0.70029724018105921</v>
      </c>
      <c r="S158" s="11">
        <v>0.70413519011780568</v>
      </c>
      <c r="T158" s="11">
        <v>0.70893545958026138</v>
      </c>
      <c r="U158" s="11">
        <v>0.7143940822019571</v>
      </c>
      <c r="V158" s="11">
        <v>0.71959672069125269</v>
      </c>
      <c r="W158" s="11">
        <v>0.7234477704015797</v>
      </c>
      <c r="X158" s="11">
        <v>0.72619269270810849</v>
      </c>
      <c r="Y158" s="11">
        <v>0.72811309935494517</v>
      </c>
      <c r="Z158" s="11">
        <v>0.7294197867229868</v>
      </c>
      <c r="AA158" s="11">
        <v>0.72893660497979407</v>
      </c>
      <c r="AB158" s="11">
        <v>0.72672092094085194</v>
      </c>
      <c r="AC158" s="11">
        <v>0.7229284821149824</v>
      </c>
      <c r="AD158" s="11">
        <v>0.71716627823753143</v>
      </c>
      <c r="AE158" s="11">
        <v>0.70767656688098191</v>
      </c>
      <c r="AF158" s="11"/>
    </row>
    <row r="159" spans="1:32" ht="13">
      <c r="A159" s="9" t="s">
        <v>20</v>
      </c>
      <c r="B159" s="11">
        <v>0.8291488804498518</v>
      </c>
      <c r="C159" s="11">
        <v>0.83222004226286506</v>
      </c>
      <c r="D159" s="11">
        <v>0.8349243082458695</v>
      </c>
      <c r="E159" s="11">
        <v>0.83773634923456153</v>
      </c>
      <c r="F159" s="11">
        <v>0.84081035042433772</v>
      </c>
      <c r="G159" s="11">
        <v>0.84377353874612993</v>
      </c>
      <c r="H159" s="11">
        <v>0.84681915848483513</v>
      </c>
      <c r="I159" s="11">
        <v>0.85014782018360757</v>
      </c>
      <c r="J159" s="11">
        <v>0.85407174947785336</v>
      </c>
      <c r="K159" s="11">
        <v>0.85863925696270771</v>
      </c>
      <c r="L159" s="11">
        <v>0.86293292124208765</v>
      </c>
      <c r="M159" s="11">
        <v>0.86645174482061815</v>
      </c>
      <c r="N159" s="11">
        <v>0.86932704834709806</v>
      </c>
      <c r="O159" s="11">
        <v>0.87199870728730777</v>
      </c>
      <c r="P159" s="11">
        <v>0.87476066031691646</v>
      </c>
      <c r="Q159" s="11">
        <v>0.87719263855581353</v>
      </c>
      <c r="R159" s="11">
        <v>0.87950593694776846</v>
      </c>
      <c r="S159" s="11">
        <v>0.88206832334869578</v>
      </c>
      <c r="T159" s="11">
        <v>0.88518495555205612</v>
      </c>
      <c r="U159" s="11">
        <v>0.88868320340457763</v>
      </c>
      <c r="V159" s="11">
        <v>0.891871073488263</v>
      </c>
      <c r="W159" s="11">
        <v>0.89422146870656771</v>
      </c>
      <c r="X159" s="11">
        <v>0.89606619889941219</v>
      </c>
      <c r="Y159" s="11">
        <v>0.89786594794592223</v>
      </c>
      <c r="Z159" s="11">
        <v>0.89941453614748246</v>
      </c>
      <c r="AA159" s="11">
        <v>0.89976912497898487</v>
      </c>
      <c r="AB159" s="11">
        <v>0.89879368702197759</v>
      </c>
      <c r="AC159" s="11">
        <v>0.89674396981805293</v>
      </c>
      <c r="AD159" s="11">
        <v>0.89346707047991214</v>
      </c>
      <c r="AE159" s="11">
        <v>0.88735552250789762</v>
      </c>
      <c r="AF159" s="11"/>
    </row>
    <row r="160" spans="1:32" ht="13">
      <c r="A160" s="9" t="s">
        <v>21</v>
      </c>
      <c r="B160" s="11">
        <v>0.94769564479047275</v>
      </c>
      <c r="C160" s="11">
        <v>0.94904760418659251</v>
      </c>
      <c r="D160" s="11">
        <v>0.95019453899851969</v>
      </c>
      <c r="E160" s="11">
        <v>0.95133541009614286</v>
      </c>
      <c r="F160" s="11">
        <v>0.95256197556948985</v>
      </c>
      <c r="G160" s="11">
        <v>0.95376125860711336</v>
      </c>
      <c r="H160" s="11">
        <v>0.9549688199474381</v>
      </c>
      <c r="I160" s="11">
        <v>0.95639098540831957</v>
      </c>
      <c r="J160" s="11">
        <v>0.95820156431525982</v>
      </c>
      <c r="K160" s="11">
        <v>0.9603678105070752</v>
      </c>
      <c r="L160" s="11">
        <v>0.96233395209891404</v>
      </c>
      <c r="M160" s="11">
        <v>0.96386543760477628</v>
      </c>
      <c r="N160" s="11">
        <v>0.96508212116004699</v>
      </c>
      <c r="O160" s="11">
        <v>0.96628760726616936</v>
      </c>
      <c r="P160" s="11">
        <v>0.96755910209765794</v>
      </c>
      <c r="Q160" s="11">
        <v>0.96863870945554442</v>
      </c>
      <c r="R160" s="11">
        <v>0.96958061910020032</v>
      </c>
      <c r="S160" s="11">
        <v>0.97056297320080431</v>
      </c>
      <c r="T160" s="11">
        <v>0.9717287874779027</v>
      </c>
      <c r="U160" s="11">
        <v>0.97301678521433954</v>
      </c>
      <c r="V160" s="11">
        <v>0.97414724093283145</v>
      </c>
      <c r="W160" s="11">
        <v>0.97497391298609837</v>
      </c>
      <c r="X160" s="11">
        <v>0.97566004713291876</v>
      </c>
      <c r="Y160" s="11">
        <v>0.97643243735317342</v>
      </c>
      <c r="Z160" s="11">
        <v>0.97713729224479062</v>
      </c>
      <c r="AA160" s="11">
        <v>0.97740364023884074</v>
      </c>
      <c r="AB160" s="11">
        <v>0.97715423082684183</v>
      </c>
      <c r="AC160" s="11">
        <v>0.97651247880291014</v>
      </c>
      <c r="AD160" s="11">
        <v>0.97544122707844305</v>
      </c>
      <c r="AE160" s="11">
        <v>0.97324235571222439</v>
      </c>
      <c r="AF160" s="11"/>
    </row>
    <row r="161" spans="1:32" ht="13">
      <c r="A161" s="9" t="s">
        <v>22</v>
      </c>
      <c r="B161" s="11">
        <v>0.99148268460878519</v>
      </c>
      <c r="C161" s="11">
        <v>0.99179191567364722</v>
      </c>
      <c r="D161" s="11">
        <v>0.99204558474459037</v>
      </c>
      <c r="E161" s="11">
        <v>0.99228788404660184</v>
      </c>
      <c r="F161" s="11">
        <v>0.9925440342010966</v>
      </c>
      <c r="G161" s="11">
        <v>0.99279712255343144</v>
      </c>
      <c r="H161" s="11">
        <v>0.99304680086029828</v>
      </c>
      <c r="I161" s="11">
        <v>0.99335834461490258</v>
      </c>
      <c r="J161" s="11">
        <v>0.99377360576599882</v>
      </c>
      <c r="K161" s="11">
        <v>0.9942719315550701</v>
      </c>
      <c r="L161" s="11">
        <v>0.99470741206828883</v>
      </c>
      <c r="M161" s="11">
        <v>0.99503145404858095</v>
      </c>
      <c r="N161" s="11">
        <v>0.99528161457292219</v>
      </c>
      <c r="O161" s="11">
        <v>0.9955369180307565</v>
      </c>
      <c r="P161" s="11">
        <v>0.99580571595525935</v>
      </c>
      <c r="Q161" s="11">
        <v>0.99602639180619823</v>
      </c>
      <c r="R161" s="11">
        <v>0.99620726106785062</v>
      </c>
      <c r="S161" s="11">
        <v>0.99638701704061228</v>
      </c>
      <c r="T161" s="11">
        <v>0.99659498155321502</v>
      </c>
      <c r="U161" s="11">
        <v>0.99682002183015994</v>
      </c>
      <c r="V161" s="11">
        <v>0.99701047789085884</v>
      </c>
      <c r="W161" s="11">
        <v>0.99714787942758254</v>
      </c>
      <c r="X161" s="11">
        <v>0.99726554577038007</v>
      </c>
      <c r="Y161" s="11">
        <v>0.99740784218405887</v>
      </c>
      <c r="Z161" s="11">
        <v>0.99753951278735253</v>
      </c>
      <c r="AA161" s="11">
        <v>0.99759733781571736</v>
      </c>
      <c r="AB161" s="11">
        <v>0.99756737542990104</v>
      </c>
      <c r="AC161" s="11">
        <v>0.99747297447554684</v>
      </c>
      <c r="AD161" s="11">
        <v>0.99730899160536157</v>
      </c>
      <c r="AE161" s="11">
        <v>0.99694313310985028</v>
      </c>
      <c r="AF161" s="11"/>
    </row>
    <row r="162" spans="1:32">
      <c r="B162" s="2"/>
    </row>
    <row r="163" spans="1:32" s="6" customFormat="1">
      <c r="A163" s="5" t="s">
        <v>11</v>
      </c>
    </row>
    <row r="164" spans="1:32">
      <c r="A164" s="1" t="s">
        <v>44</v>
      </c>
    </row>
    <row r="166" spans="1:32" ht="13">
      <c r="A166" s="9" t="s">
        <v>23</v>
      </c>
      <c r="B166" s="10">
        <v>1990</v>
      </c>
      <c r="C166" s="10">
        <v>1991</v>
      </c>
      <c r="D166" s="10">
        <v>1992</v>
      </c>
      <c r="E166" s="10">
        <v>1993</v>
      </c>
      <c r="F166" s="10">
        <v>1994</v>
      </c>
      <c r="G166" s="10">
        <v>1995</v>
      </c>
      <c r="H166" s="10">
        <v>1996</v>
      </c>
      <c r="I166" s="10">
        <v>1997</v>
      </c>
      <c r="J166" s="10">
        <v>1998</v>
      </c>
      <c r="K166" s="10">
        <v>1999</v>
      </c>
      <c r="L166" s="10">
        <v>2000</v>
      </c>
      <c r="M166" s="10">
        <v>2001</v>
      </c>
      <c r="N166" s="10">
        <v>2002</v>
      </c>
      <c r="O166" s="10">
        <v>2003</v>
      </c>
      <c r="P166" s="10">
        <v>2004</v>
      </c>
      <c r="Q166" s="10">
        <v>2005</v>
      </c>
      <c r="R166" s="10">
        <v>2006</v>
      </c>
      <c r="S166" s="10">
        <v>2007</v>
      </c>
      <c r="T166" s="10">
        <v>2008</v>
      </c>
      <c r="U166" s="10">
        <v>2009</v>
      </c>
      <c r="V166" s="10">
        <v>2010</v>
      </c>
      <c r="W166" s="10">
        <v>2011</v>
      </c>
      <c r="X166" s="10">
        <v>2012</v>
      </c>
      <c r="Y166" s="10">
        <v>2013</v>
      </c>
      <c r="Z166" s="10">
        <v>2014</v>
      </c>
      <c r="AA166" s="10">
        <v>2015</v>
      </c>
      <c r="AB166" s="10">
        <v>2016</v>
      </c>
      <c r="AC166" s="10">
        <v>2017</v>
      </c>
      <c r="AD166" s="10">
        <v>2018</v>
      </c>
      <c r="AE166" s="10">
        <v>2019</v>
      </c>
    </row>
    <row r="167" spans="1:32" ht="13">
      <c r="A167" s="9" t="s">
        <v>16</v>
      </c>
      <c r="B167" s="11">
        <v>0.13436059995209226</v>
      </c>
      <c r="C167" s="11">
        <v>0.13617647412264139</v>
      </c>
      <c r="D167" s="11">
        <v>0.13816506776765039</v>
      </c>
      <c r="E167" s="11">
        <v>0.14074906136644769</v>
      </c>
      <c r="F167" s="11">
        <v>0.14377676603942843</v>
      </c>
      <c r="G167" s="11">
        <v>0.14647052266373251</v>
      </c>
      <c r="H167" s="11">
        <v>0.14949822787827546</v>
      </c>
      <c r="I167" s="11">
        <v>0.15145982773887828</v>
      </c>
      <c r="J167" s="11">
        <v>0.15177964969142088</v>
      </c>
      <c r="K167" s="11">
        <v>0.15079163405536347</v>
      </c>
      <c r="L167" s="11">
        <v>0.15019986441317817</v>
      </c>
      <c r="M167" s="11">
        <v>0.15043722011802282</v>
      </c>
      <c r="N167" s="11">
        <v>0.15088200797730786</v>
      </c>
      <c r="O167" s="11">
        <v>0.14983973493134664</v>
      </c>
      <c r="P167" s="11">
        <v>0.14799005848933852</v>
      </c>
      <c r="Q167" s="11">
        <v>0.14671060534647504</v>
      </c>
      <c r="R167" s="11">
        <v>0.14672268937675889</v>
      </c>
      <c r="S167" s="11">
        <v>0.14761190529759002</v>
      </c>
      <c r="T167" s="11">
        <v>0.14896658468301202</v>
      </c>
      <c r="U167" s="11">
        <v>0.15053401333758337</v>
      </c>
      <c r="V167" s="11">
        <v>0.15252395725563203</v>
      </c>
      <c r="W167" s="11">
        <v>0.15394450705518459</v>
      </c>
      <c r="X167" s="11">
        <v>0.15408397494629475</v>
      </c>
      <c r="Y167" s="11">
        <v>0.15164825319796063</v>
      </c>
      <c r="Z167" s="11">
        <v>0.14835009893600051</v>
      </c>
      <c r="AA167" s="11">
        <v>0.14505374324550674</v>
      </c>
      <c r="AB167" s="11">
        <v>0.14267322135165972</v>
      </c>
      <c r="AC167" s="11">
        <v>0.14041775048094174</v>
      </c>
      <c r="AD167" s="11">
        <v>0.13765968018402319</v>
      </c>
      <c r="AE167" s="11">
        <v>0.13588805167991502</v>
      </c>
    </row>
    <row r="168" spans="1:32" ht="13">
      <c r="A168" s="9" t="s">
        <v>17</v>
      </c>
      <c r="B168" s="11">
        <v>0.24912272498190291</v>
      </c>
      <c r="C168" s="11">
        <v>0.25128690061103798</v>
      </c>
      <c r="D168" s="11">
        <v>0.25318325393571373</v>
      </c>
      <c r="E168" s="11">
        <v>0.25512721040014308</v>
      </c>
      <c r="F168" s="11">
        <v>0.25724264808317998</v>
      </c>
      <c r="G168" s="11">
        <v>0.25931280223890141</v>
      </c>
      <c r="H168" s="11">
        <v>0.26142463388182047</v>
      </c>
      <c r="I168" s="11">
        <v>0.26391120534772045</v>
      </c>
      <c r="J168" s="11">
        <v>0.26714328510418311</v>
      </c>
      <c r="K168" s="11">
        <v>0.27117000645206601</v>
      </c>
      <c r="L168" s="11">
        <v>0.27501573538154889</v>
      </c>
      <c r="M168" s="11">
        <v>0.27815735140459208</v>
      </c>
      <c r="N168" s="11">
        <v>0.28074697982617414</v>
      </c>
      <c r="O168" s="11">
        <v>0.28337991594672984</v>
      </c>
      <c r="P168" s="11">
        <v>0.28624099569781936</v>
      </c>
      <c r="Q168" s="11">
        <v>0.28875684604427243</v>
      </c>
      <c r="R168" s="11">
        <v>0.2910453952549571</v>
      </c>
      <c r="S168" s="11">
        <v>0.29352161977753044</v>
      </c>
      <c r="T168" s="11">
        <v>0.29655965877690649</v>
      </c>
      <c r="U168" s="11">
        <v>0.30004305600525216</v>
      </c>
      <c r="V168" s="11">
        <v>0.3032159594670194</v>
      </c>
      <c r="W168" s="11">
        <v>0.30560664232111401</v>
      </c>
      <c r="X168" s="11">
        <v>0.30765672305663117</v>
      </c>
      <c r="Y168" s="11">
        <v>0.31006118271813754</v>
      </c>
      <c r="Z168" s="11">
        <v>0.31230576816912725</v>
      </c>
      <c r="AA168" s="11">
        <v>0.31313759797733665</v>
      </c>
      <c r="AB168" s="11">
        <v>0.31227537997570814</v>
      </c>
      <c r="AC168" s="11">
        <v>0.31015076287326859</v>
      </c>
      <c r="AD168" s="11">
        <v>0.30671315180968095</v>
      </c>
      <c r="AE168" s="11">
        <v>0.30020734032043189</v>
      </c>
      <c r="AF168" s="11"/>
    </row>
    <row r="169" spans="1:32" ht="13">
      <c r="A169" s="9" t="s">
        <v>18</v>
      </c>
      <c r="B169" s="11">
        <v>0.24877783409613663</v>
      </c>
      <c r="C169" s="11">
        <v>0.24911141668802556</v>
      </c>
      <c r="D169" s="11">
        <v>0.24919363324737237</v>
      </c>
      <c r="E169" s="11">
        <v>0.24900216273317438</v>
      </c>
      <c r="F169" s="11">
        <v>0.24868308510073084</v>
      </c>
      <c r="G169" s="11">
        <v>0.24849052561375395</v>
      </c>
      <c r="H169" s="11">
        <v>0.2481535165589891</v>
      </c>
      <c r="I169" s="11">
        <v>0.24847991093550981</v>
      </c>
      <c r="J169" s="11">
        <v>0.24988890307406336</v>
      </c>
      <c r="K169" s="11">
        <v>0.25222883126681339</v>
      </c>
      <c r="L169" s="11">
        <v>0.25424191100403531</v>
      </c>
      <c r="M169" s="11">
        <v>0.25549703898420362</v>
      </c>
      <c r="N169" s="11">
        <v>0.25637847596984681</v>
      </c>
      <c r="O169" s="11">
        <v>0.25796968621234101</v>
      </c>
      <c r="P169" s="11">
        <v>0.26003136481439487</v>
      </c>
      <c r="Q169" s="11">
        <v>0.26165864958698981</v>
      </c>
      <c r="R169" s="11">
        <v>0.26252915554934325</v>
      </c>
      <c r="S169" s="11">
        <v>0.26300166504268524</v>
      </c>
      <c r="T169" s="11">
        <v>0.26340921612034285</v>
      </c>
      <c r="U169" s="11">
        <v>0.26381701285912157</v>
      </c>
      <c r="V169" s="11">
        <v>0.26385680396860128</v>
      </c>
      <c r="W169" s="11">
        <v>0.26389662102528111</v>
      </c>
      <c r="X169" s="11">
        <v>0.26445199470518255</v>
      </c>
      <c r="Y169" s="11">
        <v>0.26640366343884703</v>
      </c>
      <c r="Z169" s="11">
        <v>0.268763919617859</v>
      </c>
      <c r="AA169" s="11">
        <v>0.27074526375695068</v>
      </c>
      <c r="AB169" s="11">
        <v>0.27177231961348408</v>
      </c>
      <c r="AC169" s="11">
        <v>0.27235996876077206</v>
      </c>
      <c r="AD169" s="11">
        <v>0.27279344624382729</v>
      </c>
      <c r="AE169" s="11">
        <v>0.27158117488063499</v>
      </c>
      <c r="AF169" s="11"/>
    </row>
    <row r="170" spans="1:32" ht="13">
      <c r="A170" s="9" t="s">
        <v>19</v>
      </c>
      <c r="B170" s="11">
        <v>0.19688772141972</v>
      </c>
      <c r="C170" s="11">
        <v>0.19564525084116013</v>
      </c>
      <c r="D170" s="11">
        <v>0.19438235329513298</v>
      </c>
      <c r="E170" s="11">
        <v>0.19285791473479641</v>
      </c>
      <c r="F170" s="11">
        <v>0.19110785120099849</v>
      </c>
      <c r="G170" s="11">
        <v>0.18949968822974206</v>
      </c>
      <c r="H170" s="11">
        <v>0.18774278016575008</v>
      </c>
      <c r="I170" s="11">
        <v>0.18629687616149904</v>
      </c>
      <c r="J170" s="11">
        <v>0.185259911608186</v>
      </c>
      <c r="K170" s="11">
        <v>0.18444878518846486</v>
      </c>
      <c r="L170" s="11">
        <v>0.18347541044332527</v>
      </c>
      <c r="M170" s="11">
        <v>0.1823601343137996</v>
      </c>
      <c r="N170" s="11">
        <v>0.18131958457376929</v>
      </c>
      <c r="O170" s="11">
        <v>0.18080937019689025</v>
      </c>
      <c r="P170" s="11">
        <v>0.18049824131536374</v>
      </c>
      <c r="Q170" s="11">
        <v>0.18006653757807622</v>
      </c>
      <c r="R170" s="11">
        <v>0.17920869676670925</v>
      </c>
      <c r="S170" s="11">
        <v>0.17793313323089011</v>
      </c>
      <c r="T170" s="11">
        <v>0.17624949597179473</v>
      </c>
      <c r="U170" s="11">
        <v>0.17428912120262052</v>
      </c>
      <c r="V170" s="11">
        <v>0.17227435279701031</v>
      </c>
      <c r="W170" s="11">
        <v>0.17077369830498801</v>
      </c>
      <c r="X170" s="11">
        <v>0.1698735061913037</v>
      </c>
      <c r="Y170" s="11">
        <v>0.16975284859097706</v>
      </c>
      <c r="Z170" s="11">
        <v>0.16999474942449566</v>
      </c>
      <c r="AA170" s="11">
        <v>0.1708325199991908</v>
      </c>
      <c r="AB170" s="11">
        <v>0.17207276608112565</v>
      </c>
      <c r="AC170" s="11">
        <v>0.17381548770307054</v>
      </c>
      <c r="AD170" s="11">
        <v>0.17630079224238071</v>
      </c>
      <c r="AE170" s="11">
        <v>0.17967895562691572</v>
      </c>
      <c r="AF170" s="11"/>
    </row>
    <row r="171" spans="1:32" ht="13">
      <c r="A171" s="9" t="s">
        <v>20</v>
      </c>
      <c r="B171" s="11">
        <v>0.11854676434062095</v>
      </c>
      <c r="C171" s="11">
        <v>0.11682756192372745</v>
      </c>
      <c r="D171" s="11">
        <v>0.11527023075265019</v>
      </c>
      <c r="E171" s="11">
        <v>0.11359906086158134</v>
      </c>
      <c r="F171" s="11">
        <v>0.11175162514515213</v>
      </c>
      <c r="G171" s="11">
        <v>0.10998771986098344</v>
      </c>
      <c r="H171" s="11">
        <v>0.10814966146260296</v>
      </c>
      <c r="I171" s="11">
        <v>0.106243165224712</v>
      </c>
      <c r="J171" s="11">
        <v>0.10412981483740646</v>
      </c>
      <c r="K171" s="11">
        <v>0.10172855354436749</v>
      </c>
      <c r="L171" s="11">
        <v>9.9401030856826389E-2</v>
      </c>
      <c r="M171" s="11">
        <v>9.7413692784158123E-2</v>
      </c>
      <c r="N171" s="11">
        <v>9.5755072812948927E-2</v>
      </c>
      <c r="O171" s="11">
        <v>9.4288899978861584E-2</v>
      </c>
      <c r="P171" s="11">
        <v>9.2798441780741481E-2</v>
      </c>
      <c r="Q171" s="11">
        <v>9.1446070899730891E-2</v>
      </c>
      <c r="R171" s="11">
        <v>9.0074682152431862E-2</v>
      </c>
      <c r="S171" s="11">
        <v>8.8494649852108531E-2</v>
      </c>
      <c r="T171" s="11">
        <v>8.6543831925846582E-2</v>
      </c>
      <c r="U171" s="11">
        <v>8.4333581809761915E-2</v>
      </c>
      <c r="V171" s="11">
        <v>8.2276167444568449E-2</v>
      </c>
      <c r="W171" s="11">
        <v>8.0752444279530655E-2</v>
      </c>
      <c r="X171" s="11">
        <v>7.959384823350657E-2</v>
      </c>
      <c r="Y171" s="11">
        <v>7.8566489407251194E-2</v>
      </c>
      <c r="Z171" s="11">
        <v>7.7722756097308165E-2</v>
      </c>
      <c r="AA171" s="11">
        <v>7.7634515259855874E-2</v>
      </c>
      <c r="AB171" s="11">
        <v>7.8360543804864236E-2</v>
      </c>
      <c r="AC171" s="11">
        <v>7.9768508984857212E-2</v>
      </c>
      <c r="AD171" s="11">
        <v>8.1974156598530912E-2</v>
      </c>
      <c r="AE171" s="11">
        <v>8.5886833204326773E-2</v>
      </c>
      <c r="AF171" s="11"/>
    </row>
    <row r="172" spans="1:32" ht="13">
      <c r="A172" s="9" t="s">
        <v>21</v>
      </c>
      <c r="B172" s="11">
        <v>4.3787039818312445E-2</v>
      </c>
      <c r="C172" s="11">
        <v>4.2744311487054709E-2</v>
      </c>
      <c r="D172" s="11">
        <v>4.1851045746070681E-2</v>
      </c>
      <c r="E172" s="11">
        <v>4.0952473950458979E-2</v>
      </c>
      <c r="F172" s="11">
        <v>3.9982058631606754E-2</v>
      </c>
      <c r="G172" s="11">
        <v>3.9035863946318083E-2</v>
      </c>
      <c r="H172" s="11">
        <v>3.8077980912860188E-2</v>
      </c>
      <c r="I172" s="11">
        <v>3.6967359206583006E-2</v>
      </c>
      <c r="J172" s="11">
        <v>3.5572041450739E-2</v>
      </c>
      <c r="K172" s="11">
        <v>3.3904121047994895E-2</v>
      </c>
      <c r="L172" s="11">
        <v>3.2373459969374796E-2</v>
      </c>
      <c r="M172" s="11">
        <v>3.1166016443804678E-2</v>
      </c>
      <c r="N172" s="11">
        <v>3.01994934128752E-2</v>
      </c>
      <c r="O172" s="11">
        <v>2.9249310764587144E-2</v>
      </c>
      <c r="P172" s="11">
        <v>2.824661385760141E-2</v>
      </c>
      <c r="Q172" s="11">
        <v>2.7387682350653808E-2</v>
      </c>
      <c r="R172" s="11">
        <v>2.66266419676503E-2</v>
      </c>
      <c r="S172" s="11">
        <v>2.5824043839807964E-2</v>
      </c>
      <c r="T172" s="11">
        <v>2.486619407531232E-2</v>
      </c>
      <c r="U172" s="11">
        <v>2.38032366158204E-2</v>
      </c>
      <c r="V172" s="11">
        <v>2.2863236958027389E-2</v>
      </c>
      <c r="W172" s="11">
        <v>2.2173966441484172E-2</v>
      </c>
      <c r="X172" s="11">
        <v>2.1605498637461307E-2</v>
      </c>
      <c r="Y172" s="11">
        <v>2.0975404830885447E-2</v>
      </c>
      <c r="Z172" s="11">
        <v>2.0402220542561911E-2</v>
      </c>
      <c r="AA172" s="11">
        <v>2.0193697576876612E-2</v>
      </c>
      <c r="AB172" s="11">
        <v>2.0413144603059208E-2</v>
      </c>
      <c r="AC172" s="11">
        <v>2.0960495672636692E-2</v>
      </c>
      <c r="AD172" s="11">
        <v>2.1867764526918521E-2</v>
      </c>
      <c r="AE172" s="11">
        <v>2.3700777397625883E-2</v>
      </c>
      <c r="AF172" s="11"/>
    </row>
    <row r="173" spans="1:32" s="16" customFormat="1" ht="13">
      <c r="A173" s="14" t="s">
        <v>22</v>
      </c>
      <c r="B173" s="15">
        <v>8.5173153912148081E-3</v>
      </c>
      <c r="C173" s="15">
        <v>8.2080843263527825E-3</v>
      </c>
      <c r="D173" s="15">
        <v>7.9544152554096303E-3</v>
      </c>
      <c r="E173" s="15">
        <v>7.7121159533981576E-3</v>
      </c>
      <c r="F173" s="15">
        <v>7.4559657989033967E-3</v>
      </c>
      <c r="G173" s="15">
        <v>7.2028774465685563E-3</v>
      </c>
      <c r="H173" s="15">
        <v>6.9531991397017157E-3</v>
      </c>
      <c r="I173" s="15">
        <v>6.6416553850974225E-3</v>
      </c>
      <c r="J173" s="15">
        <v>6.2263942340011758E-3</v>
      </c>
      <c r="K173" s="15">
        <v>5.7280684449299013E-3</v>
      </c>
      <c r="L173" s="15">
        <v>5.2925879317111679E-3</v>
      </c>
      <c r="M173" s="15">
        <v>4.9685459514190455E-3</v>
      </c>
      <c r="N173" s="15">
        <v>4.7183854270778092E-3</v>
      </c>
      <c r="O173" s="15">
        <v>4.4630819692434986E-3</v>
      </c>
      <c r="P173" s="15">
        <v>4.1942840447406482E-3</v>
      </c>
      <c r="Q173" s="15">
        <v>3.9736081938017698E-3</v>
      </c>
      <c r="R173" s="15">
        <v>3.7927389321493754E-3</v>
      </c>
      <c r="S173" s="15">
        <v>3.6129829593877227E-3</v>
      </c>
      <c r="T173" s="15">
        <v>3.4050184467849798E-3</v>
      </c>
      <c r="U173" s="15">
        <v>3.1799781698400587E-3</v>
      </c>
      <c r="V173" s="15">
        <v>2.9895221091411628E-3</v>
      </c>
      <c r="W173" s="15">
        <v>2.8521205724174603E-3</v>
      </c>
      <c r="X173" s="15">
        <v>2.7344542296199315E-3</v>
      </c>
      <c r="Y173" s="15">
        <v>2.5921578159411318E-3</v>
      </c>
      <c r="Z173" s="15">
        <v>2.4604872126474664E-3</v>
      </c>
      <c r="AA173" s="15">
        <v>2.4026621842826446E-3</v>
      </c>
      <c r="AB173" s="15">
        <v>2.4326245700989624E-3</v>
      </c>
      <c r="AC173" s="15">
        <v>2.5270255244531636E-3</v>
      </c>
      <c r="AD173" s="15">
        <v>2.6910083946384278E-3</v>
      </c>
      <c r="AE173" s="15">
        <v>3.0568668901497231E-3</v>
      </c>
      <c r="AF173" s="15"/>
    </row>
    <row r="175" spans="1:32" s="6" customFormat="1">
      <c r="A175" s="5" t="s">
        <v>46</v>
      </c>
    </row>
    <row r="176" spans="1:32">
      <c r="A176" s="1" t="s">
        <v>45</v>
      </c>
    </row>
    <row r="178" spans="1:32" ht="13">
      <c r="A178" s="9" t="s">
        <v>23</v>
      </c>
      <c r="B178" s="10">
        <v>1990</v>
      </c>
      <c r="C178" s="10">
        <v>1991</v>
      </c>
      <c r="D178" s="10">
        <v>1992</v>
      </c>
      <c r="E178" s="10">
        <v>1993</v>
      </c>
      <c r="F178" s="10">
        <v>1994</v>
      </c>
      <c r="G178" s="10">
        <v>1995</v>
      </c>
      <c r="H178" s="10">
        <v>1996</v>
      </c>
      <c r="I178" s="10">
        <v>1997</v>
      </c>
      <c r="J178" s="10">
        <v>1998</v>
      </c>
      <c r="K178" s="10">
        <v>1999</v>
      </c>
      <c r="L178" s="10">
        <v>2000</v>
      </c>
      <c r="M178" s="10">
        <v>2001</v>
      </c>
      <c r="N178" s="10">
        <v>2002</v>
      </c>
      <c r="O178" s="10">
        <v>2003</v>
      </c>
      <c r="P178" s="10">
        <v>2004</v>
      </c>
      <c r="Q178" s="10">
        <v>2005</v>
      </c>
      <c r="R178" s="10">
        <v>2006</v>
      </c>
      <c r="S178" s="10">
        <v>2007</v>
      </c>
      <c r="T178" s="10">
        <v>2008</v>
      </c>
      <c r="U178" s="10">
        <v>2009</v>
      </c>
      <c r="V178" s="10">
        <v>2010</v>
      </c>
      <c r="W178" s="10">
        <v>2011</v>
      </c>
      <c r="X178" s="10">
        <v>2012</v>
      </c>
      <c r="Y178" s="10">
        <v>2013</v>
      </c>
      <c r="Z178" s="10">
        <v>2014</v>
      </c>
      <c r="AA178" s="10">
        <v>2015</v>
      </c>
      <c r="AB178" s="10">
        <v>2016</v>
      </c>
      <c r="AC178" s="10">
        <v>2017</v>
      </c>
      <c r="AD178" s="10">
        <v>2018</v>
      </c>
      <c r="AE178" s="10">
        <v>2019</v>
      </c>
    </row>
    <row r="179" spans="1:32" ht="13">
      <c r="A179" s="9" t="s">
        <v>16</v>
      </c>
      <c r="B179" s="11">
        <v>9.8423969728475863E-2</v>
      </c>
      <c r="C179" s="11">
        <v>9.747925177121157E-2</v>
      </c>
      <c r="D179" s="11">
        <v>9.6296477588658558E-2</v>
      </c>
      <c r="E179" s="11">
        <v>9.515137755779389E-2</v>
      </c>
      <c r="F179" s="11">
        <v>9.4071644178998881E-2</v>
      </c>
      <c r="G179" s="11">
        <v>9.2703880063261954E-2</v>
      </c>
      <c r="H179" s="11">
        <v>9.1636644552769028E-2</v>
      </c>
      <c r="I179" s="11">
        <v>9.0458034124578174E-2</v>
      </c>
      <c r="J179" s="11">
        <v>8.9097290781379235E-2</v>
      </c>
      <c r="K179" s="11">
        <v>8.748409924379795E-2</v>
      </c>
      <c r="L179" s="11">
        <v>8.5709125397571223E-2</v>
      </c>
      <c r="M179" s="11">
        <v>8.3868113866356633E-2</v>
      </c>
      <c r="N179" s="11">
        <v>8.1857637074088815E-2</v>
      </c>
      <c r="O179" s="11">
        <v>7.9304008790864064E-2</v>
      </c>
      <c r="P179" s="11">
        <v>7.6777905339730862E-2</v>
      </c>
      <c r="Q179" s="11">
        <v>7.4871998378415433E-2</v>
      </c>
      <c r="R179" s="11">
        <v>7.3850538675938077E-2</v>
      </c>
      <c r="S179" s="11">
        <v>7.3403003145832715E-2</v>
      </c>
      <c r="T179" s="11">
        <v>7.3161867865751046E-2</v>
      </c>
      <c r="U179" s="11">
        <v>7.2825048420449803E-2</v>
      </c>
      <c r="V179" s="11">
        <v>7.2312199927849305E-2</v>
      </c>
      <c r="W179" s="11">
        <v>7.1278455831868939E-2</v>
      </c>
      <c r="X179" s="11">
        <v>6.9604466483791413E-2</v>
      </c>
      <c r="Y179" s="11">
        <v>6.7190982621219447E-2</v>
      </c>
      <c r="Z179" s="11">
        <v>6.4617463795961352E-2</v>
      </c>
      <c r="AA179" s="11">
        <v>6.1964030479404353E-2</v>
      </c>
      <c r="AB179" s="11">
        <v>5.9371291005796432E-2</v>
      </c>
      <c r="AC179" s="11">
        <v>5.7295883384055377E-2</v>
      </c>
      <c r="AD179" s="11">
        <v>5.5860448072574939E-2</v>
      </c>
      <c r="AE179" s="11">
        <v>5.4837066114417819E-2</v>
      </c>
    </row>
    <row r="180" spans="1:32" ht="13">
      <c r="A180" s="9" t="s">
        <v>17</v>
      </c>
      <c r="B180" s="11">
        <v>0.182491352011207</v>
      </c>
      <c r="C180" s="11">
        <v>0.1798787875019455</v>
      </c>
      <c r="D180" s="11">
        <v>0.1764603450956547</v>
      </c>
      <c r="E180" s="11">
        <v>0.17247507931045908</v>
      </c>
      <c r="F180" s="11">
        <v>0.16831119188971111</v>
      </c>
      <c r="G180" s="11">
        <v>0.16412382833379377</v>
      </c>
      <c r="H180" s="11">
        <v>0.16024321219293444</v>
      </c>
      <c r="I180" s="11">
        <v>0.15761861858419843</v>
      </c>
      <c r="J180" s="11">
        <v>0.1568177486350178</v>
      </c>
      <c r="K180" s="11">
        <v>0.1573234742431659</v>
      </c>
      <c r="L180" s="11">
        <v>0.15693328514119712</v>
      </c>
      <c r="M180" s="11">
        <v>0.15507154680246366</v>
      </c>
      <c r="N180" s="11">
        <v>0.15231295429017488</v>
      </c>
      <c r="O180" s="11">
        <v>0.14998133409466122</v>
      </c>
      <c r="P180" s="11">
        <v>0.14850311092768942</v>
      </c>
      <c r="Q180" s="11">
        <v>0.14736359418411038</v>
      </c>
      <c r="R180" s="11">
        <v>0.1464930837216139</v>
      </c>
      <c r="S180" s="11">
        <v>0.14595955750631273</v>
      </c>
      <c r="T180" s="11">
        <v>0.14564916431371025</v>
      </c>
      <c r="U180" s="11">
        <v>0.14515423854940054</v>
      </c>
      <c r="V180" s="11">
        <v>0.14375586286123665</v>
      </c>
      <c r="W180" s="11">
        <v>0.14150014166340258</v>
      </c>
      <c r="X180" s="11">
        <v>0.13897799609577979</v>
      </c>
      <c r="Y180" s="11">
        <v>0.13737919890401543</v>
      </c>
      <c r="Z180" s="11">
        <v>0.1360323101411916</v>
      </c>
      <c r="AA180" s="11">
        <v>0.13376605960781504</v>
      </c>
      <c r="AB180" s="11">
        <v>0.1299486496683615</v>
      </c>
      <c r="AC180" s="11">
        <v>0.12655352959435495</v>
      </c>
      <c r="AD180" s="11">
        <v>0.12446007477960822</v>
      </c>
      <c r="AE180" s="11">
        <v>0.12114744133621498</v>
      </c>
      <c r="AF180" s="11"/>
    </row>
    <row r="181" spans="1:32" ht="13">
      <c r="A181" s="9" t="s">
        <v>18</v>
      </c>
      <c r="B181" s="11">
        <v>0.18223870703855585</v>
      </c>
      <c r="C181" s="11">
        <v>0.17832151010567099</v>
      </c>
      <c r="D181" s="11">
        <v>0.17367971157222176</v>
      </c>
      <c r="E181" s="11">
        <v>0.16833432897464082</v>
      </c>
      <c r="F181" s="11">
        <v>0.162710758764154</v>
      </c>
      <c r="G181" s="11">
        <v>0.15727421097718464</v>
      </c>
      <c r="H181" s="11">
        <v>0.15210852940645628</v>
      </c>
      <c r="I181" s="11">
        <v>0.14840241533502591</v>
      </c>
      <c r="J181" s="11">
        <v>0.14668912667472164</v>
      </c>
      <c r="K181" s="11">
        <v>0.14633445843946147</v>
      </c>
      <c r="L181" s="11">
        <v>0.14507903796517094</v>
      </c>
      <c r="M181" s="11">
        <v>0.14243851848121863</v>
      </c>
      <c r="N181" s="11">
        <v>0.13909237105794631</v>
      </c>
      <c r="O181" s="11">
        <v>0.1365327446189982</v>
      </c>
      <c r="P181" s="11">
        <v>0.13490543700622243</v>
      </c>
      <c r="Q181" s="11">
        <v>0.13353435452951171</v>
      </c>
      <c r="R181" s="11">
        <v>0.13213988673335492</v>
      </c>
      <c r="S181" s="11">
        <v>0.13078289320612577</v>
      </c>
      <c r="T181" s="11">
        <v>0.12936800763356215</v>
      </c>
      <c r="U181" s="11">
        <v>0.1276288747614705</v>
      </c>
      <c r="V181" s="11">
        <v>0.12509553452591327</v>
      </c>
      <c r="W181" s="11">
        <v>0.12218781953153465</v>
      </c>
      <c r="X181" s="11">
        <v>0.11946109261812821</v>
      </c>
      <c r="Y181" s="11">
        <v>0.11803580682846587</v>
      </c>
      <c r="Z181" s="11">
        <v>0.11706660777529966</v>
      </c>
      <c r="AA181" s="11">
        <v>0.11565691033009408</v>
      </c>
      <c r="AB181" s="11">
        <v>0.11309391715017007</v>
      </c>
      <c r="AC181" s="11">
        <v>0.11113342120318449</v>
      </c>
      <c r="AD181" s="11">
        <v>0.1106959141418276</v>
      </c>
      <c r="AE181" s="11">
        <v>0.10959546964026325</v>
      </c>
      <c r="AF181" s="11"/>
    </row>
    <row r="182" spans="1:32" ht="13">
      <c r="A182" s="9" t="s">
        <v>19</v>
      </c>
      <c r="B182" s="11">
        <v>0.14422733405352994</v>
      </c>
      <c r="C182" s="11">
        <v>0.14004880642901293</v>
      </c>
      <c r="D182" s="11">
        <v>0.1354780642469901</v>
      </c>
      <c r="E182" s="11">
        <v>0.13037881803106607</v>
      </c>
      <c r="F182" s="11">
        <v>0.12503988143023934</v>
      </c>
      <c r="G182" s="11">
        <v>0.11993782810488589</v>
      </c>
      <c r="H182" s="11">
        <v>0.11507907924771819</v>
      </c>
      <c r="I182" s="11">
        <v>0.11126415124525746</v>
      </c>
      <c r="J182" s="11">
        <v>0.10875078607866985</v>
      </c>
      <c r="K182" s="11">
        <v>0.10701081614979474</v>
      </c>
      <c r="L182" s="11">
        <v>0.10469727800685082</v>
      </c>
      <c r="M182" s="11">
        <v>0.10166500349657515</v>
      </c>
      <c r="N182" s="11">
        <v>9.8370859106649777E-2</v>
      </c>
      <c r="O182" s="11">
        <v>9.5694962955817822E-2</v>
      </c>
      <c r="P182" s="11">
        <v>9.3643296226531808E-2</v>
      </c>
      <c r="Q182" s="11">
        <v>9.1894798455185639E-2</v>
      </c>
      <c r="R182" s="11">
        <v>9.0201855267592376E-2</v>
      </c>
      <c r="S182" s="11">
        <v>8.8480846527682719E-2</v>
      </c>
      <c r="T182" s="11">
        <v>8.6561307444435021E-2</v>
      </c>
      <c r="U182" s="11">
        <v>8.4317247705834986E-2</v>
      </c>
      <c r="V182" s="11">
        <v>8.1675939085551444E-2</v>
      </c>
      <c r="W182" s="11">
        <v>7.9070606316037781E-2</v>
      </c>
      <c r="X182" s="11">
        <v>7.6737082959457123E-2</v>
      </c>
      <c r="Y182" s="11">
        <v>7.5212608513793425E-2</v>
      </c>
      <c r="Z182" s="11">
        <v>7.4045313385195197E-2</v>
      </c>
      <c r="AA182" s="11">
        <v>7.2976203435075521E-2</v>
      </c>
      <c r="AB182" s="11">
        <v>7.1605464377888339E-2</v>
      </c>
      <c r="AC182" s="11">
        <v>7.092345433300129E-2</v>
      </c>
      <c r="AD182" s="11">
        <v>7.1540492009310355E-2</v>
      </c>
      <c r="AE182" s="11">
        <v>7.2508705859523764E-2</v>
      </c>
      <c r="AF182" s="11"/>
    </row>
    <row r="183" spans="1:32" ht="13">
      <c r="A183" s="9" t="s">
        <v>20</v>
      </c>
      <c r="B183" s="11">
        <v>8.6839766635682894E-2</v>
      </c>
      <c r="C183" s="11">
        <v>8.3628713373232869E-2</v>
      </c>
      <c r="D183" s="11">
        <v>8.0339534237256982E-2</v>
      </c>
      <c r="E183" s="11">
        <v>7.6797010404986266E-2</v>
      </c>
      <c r="F183" s="11">
        <v>7.3117927233087798E-2</v>
      </c>
      <c r="G183" s="11">
        <v>6.9613245074798671E-2</v>
      </c>
      <c r="H183" s="11">
        <v>6.6291568981139762E-2</v>
      </c>
      <c r="I183" s="11">
        <v>6.3452784866288733E-2</v>
      </c>
      <c r="J183" s="11">
        <v>6.1126010044441341E-2</v>
      </c>
      <c r="K183" s="11">
        <v>5.9019394079488127E-2</v>
      </c>
      <c r="L183" s="11">
        <v>5.6721591937789341E-2</v>
      </c>
      <c r="M183" s="11">
        <v>5.4307721667247684E-2</v>
      </c>
      <c r="N183" s="11">
        <v>5.194975930797642E-2</v>
      </c>
      <c r="O183" s="11">
        <v>4.9903236656355314E-2</v>
      </c>
      <c r="P183" s="11">
        <v>4.8144247332867859E-2</v>
      </c>
      <c r="Q183" s="11">
        <v>4.6668405845287572E-2</v>
      </c>
      <c r="R183" s="11">
        <v>4.5337662676967636E-2</v>
      </c>
      <c r="S183" s="11">
        <v>4.4005753115834489E-2</v>
      </c>
      <c r="T183" s="11">
        <v>4.2504219382003564E-2</v>
      </c>
      <c r="U183" s="11">
        <v>4.0798734070770448E-2</v>
      </c>
      <c r="V183" s="11">
        <v>3.9007450216999591E-2</v>
      </c>
      <c r="W183" s="11">
        <v>3.738950900554483E-2</v>
      </c>
      <c r="X183" s="11">
        <v>3.595498716603112E-2</v>
      </c>
      <c r="Y183" s="11">
        <v>3.4810553455447438E-2</v>
      </c>
      <c r="Z183" s="11">
        <v>3.3854021091059637E-2</v>
      </c>
      <c r="AA183" s="11">
        <v>3.3163897478147332E-2</v>
      </c>
      <c r="AB183" s="11">
        <v>3.260854844052298E-2</v>
      </c>
      <c r="AC183" s="11">
        <v>3.2548642695544909E-2</v>
      </c>
      <c r="AD183" s="11">
        <v>3.3264011015019163E-2</v>
      </c>
      <c r="AE183" s="11">
        <v>3.4659279403589933E-2</v>
      </c>
      <c r="AF183" s="11"/>
    </row>
    <row r="184" spans="1:32" ht="13">
      <c r="A184" s="9" t="s">
        <v>21</v>
      </c>
      <c r="B184" s="11">
        <v>3.207558081099534E-2</v>
      </c>
      <c r="C184" s="11">
        <v>3.0597675024844274E-2</v>
      </c>
      <c r="D184" s="11">
        <v>2.9168793196886617E-2</v>
      </c>
      <c r="E184" s="11">
        <v>2.7685330708107646E-2</v>
      </c>
      <c r="F184" s="11">
        <v>2.6159845549071119E-2</v>
      </c>
      <c r="G184" s="11">
        <v>2.4706514209369493E-2</v>
      </c>
      <c r="H184" s="11">
        <v>2.3340332870299865E-2</v>
      </c>
      <c r="I184" s="11">
        <v>2.2078426276634762E-2</v>
      </c>
      <c r="J184" s="11">
        <v>2.08814062179438E-2</v>
      </c>
      <c r="K184" s="11">
        <v>1.967000032274685E-2</v>
      </c>
      <c r="L184" s="11">
        <v>1.8473391776410625E-2</v>
      </c>
      <c r="M184" s="11">
        <v>1.7374922335171551E-2</v>
      </c>
      <c r="N184" s="11">
        <v>1.6384055360558716E-2</v>
      </c>
      <c r="O184" s="11">
        <v>1.548045716354423E-2</v>
      </c>
      <c r="P184" s="11">
        <v>1.4654469814153694E-2</v>
      </c>
      <c r="Q184" s="11">
        <v>1.3976975309344787E-2</v>
      </c>
      <c r="R184" s="11">
        <v>1.3402097935875171E-2</v>
      </c>
      <c r="S184" s="11">
        <v>1.2841527703270515E-2</v>
      </c>
      <c r="T184" s="11">
        <v>1.2212518727829755E-2</v>
      </c>
      <c r="U184" s="11">
        <v>1.1515482917625459E-2</v>
      </c>
      <c r="V184" s="11">
        <v>1.0839549351160183E-2</v>
      </c>
      <c r="W184" s="11">
        <v>1.0266856010978693E-2</v>
      </c>
      <c r="X184" s="11">
        <v>9.7598676715143981E-3</v>
      </c>
      <c r="Y184" s="11">
        <v>9.2935990474305018E-3</v>
      </c>
      <c r="Z184" s="11">
        <v>8.8866792588723261E-3</v>
      </c>
      <c r="AA184" s="11">
        <v>8.6263398940876115E-3</v>
      </c>
      <c r="AB184" s="11">
        <v>8.4946196426336756E-3</v>
      </c>
      <c r="AC184" s="11">
        <v>8.5526944536430862E-3</v>
      </c>
      <c r="AD184" s="11">
        <v>8.8736449422682946E-3</v>
      </c>
      <c r="AE184" s="11">
        <v>9.5643515456245946E-3</v>
      </c>
      <c r="AF184" s="11"/>
    </row>
    <row r="185" spans="1:32" s="7" customFormat="1" ht="13">
      <c r="A185" s="4" t="s">
        <v>22</v>
      </c>
      <c r="B185" s="11">
        <v>6.2392397215531616E-3</v>
      </c>
      <c r="C185" s="11">
        <v>5.8755957940817821E-3</v>
      </c>
      <c r="D185" s="11">
        <v>5.5439640623314067E-3</v>
      </c>
      <c r="E185" s="11">
        <v>5.2136650129462553E-3</v>
      </c>
      <c r="F185" s="11">
        <v>4.8783609547378426E-3</v>
      </c>
      <c r="G185" s="11">
        <v>4.55883323670561E-3</v>
      </c>
      <c r="H185" s="11">
        <v>4.2620427486823502E-3</v>
      </c>
      <c r="I185" s="11">
        <v>3.9666695680165079E-3</v>
      </c>
      <c r="J185" s="11">
        <v>3.655001567826536E-3</v>
      </c>
      <c r="K185" s="11">
        <v>3.3232275215449251E-3</v>
      </c>
      <c r="L185" s="11">
        <v>3.0201297750100018E-3</v>
      </c>
      <c r="M185" s="11">
        <v>2.7699433509667435E-3</v>
      </c>
      <c r="N185" s="11">
        <v>2.5598538026051017E-3</v>
      </c>
      <c r="O185" s="11">
        <v>2.362125719759189E-3</v>
      </c>
      <c r="P185" s="11">
        <v>2.1760133528039688E-3</v>
      </c>
      <c r="Q185" s="11">
        <v>2.0278832981444894E-3</v>
      </c>
      <c r="R185" s="11">
        <v>1.9090149886579241E-3</v>
      </c>
      <c r="S185" s="11">
        <v>1.7966287949411548E-3</v>
      </c>
      <c r="T185" s="11">
        <v>1.6723046327082548E-3</v>
      </c>
      <c r="U185" s="11">
        <v>1.5384035744482288E-3</v>
      </c>
      <c r="V185" s="11">
        <v>1.4173440312896088E-3</v>
      </c>
      <c r="W185" s="11">
        <v>1.320571640632475E-3</v>
      </c>
      <c r="X185" s="11">
        <v>1.2352370052977988E-3</v>
      </c>
      <c r="Y185" s="11">
        <v>1.1485106296278854E-3</v>
      </c>
      <c r="Z185" s="11">
        <v>1.071724552420173E-3</v>
      </c>
      <c r="AA185" s="11">
        <v>1.026368775376045E-3</v>
      </c>
      <c r="AB185" s="11">
        <v>1.0122997146269719E-3</v>
      </c>
      <c r="AC185" s="11">
        <v>1.0311243362159635E-3</v>
      </c>
      <c r="AD185" s="11">
        <v>1.0919750393914502E-3</v>
      </c>
      <c r="AE185" s="11">
        <v>1.2335861003656711E-3</v>
      </c>
      <c r="AF185" s="8"/>
    </row>
    <row r="186" spans="1:32" s="17" customFormat="1">
      <c r="A186" s="17" t="s">
        <v>0</v>
      </c>
      <c r="B186" s="17">
        <v>3.6626797500000006</v>
      </c>
      <c r="C186" s="17">
        <v>3.5791516999999997</v>
      </c>
      <c r="D186" s="17">
        <v>3.4848344500000001</v>
      </c>
      <c r="E186" s="17">
        <v>3.38017805</v>
      </c>
      <c r="F186" s="17">
        <v>3.2714480500000005</v>
      </c>
      <c r="G186" s="17">
        <v>3.1645916999999999</v>
      </c>
      <c r="H186" s="17">
        <v>3.0648070499999998</v>
      </c>
      <c r="I186" s="17">
        <v>2.9862054999999996</v>
      </c>
      <c r="J186" s="17">
        <v>2.9350868500000002</v>
      </c>
      <c r="K186" s="17">
        <v>2.9008273499999992</v>
      </c>
      <c r="L186" s="17">
        <v>2.8531692000000004</v>
      </c>
      <c r="M186" s="17">
        <v>2.7874788500000003</v>
      </c>
      <c r="N186" s="17">
        <v>2.7126374500000008</v>
      </c>
      <c r="O186" s="17">
        <v>2.6462943499999998</v>
      </c>
      <c r="P186" s="17">
        <v>2.5940224000000001</v>
      </c>
      <c r="Q186" s="17">
        <v>2.5516900499999999</v>
      </c>
      <c r="R186" s="17">
        <v>2.5166706999999997</v>
      </c>
      <c r="S186" s="17">
        <v>2.4863510500000006</v>
      </c>
      <c r="T186" s="17">
        <v>2.4556469500000002</v>
      </c>
      <c r="U186" s="17">
        <v>2.4188901499999997</v>
      </c>
      <c r="V186" s="17">
        <v>2.3705194000000001</v>
      </c>
      <c r="W186" s="17">
        <v>2.3150697999999998</v>
      </c>
      <c r="X186" s="17">
        <v>2.2586536499999994</v>
      </c>
      <c r="Y186" s="17">
        <v>2.2153562999999998</v>
      </c>
      <c r="Z186" s="17">
        <v>2.1778705999999994</v>
      </c>
      <c r="AA186" s="17">
        <v>2.1358990499999999</v>
      </c>
      <c r="AB186" s="17">
        <v>2.0806739499999996</v>
      </c>
      <c r="AC186" s="17">
        <v>2.0401937500000003</v>
      </c>
      <c r="AD186" s="17">
        <v>2.0289327999999998</v>
      </c>
      <c r="AE186" s="17">
        <v>2.0177295000000002</v>
      </c>
    </row>
  </sheetData>
  <mergeCells count="1">
    <mergeCell ref="A1:B1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FE44-A4F8-4088-B310-3910D8F491F8}">
  <sheetPr codeName="Hoja3"/>
  <dimension ref="A1:B82"/>
  <sheetViews>
    <sheetView workbookViewId="0">
      <selection activeCell="A2" sqref="A2"/>
    </sheetView>
  </sheetViews>
  <sheetFormatPr baseColWidth="10" defaultColWidth="11.5" defaultRowHeight="12"/>
  <cols>
    <col min="1" max="16384" width="11.5" style="1"/>
  </cols>
  <sheetData>
    <row r="1" spans="1:2">
      <c r="A1" s="1" t="s">
        <v>47</v>
      </c>
      <c r="B1" s="1" t="s">
        <v>0</v>
      </c>
    </row>
    <row r="2" spans="1:2">
      <c r="A2" s="1" cm="1">
        <f t="array" ref="A2:A31">TRANSPOSE('Bilogito-valores'!B178:AE178)</f>
        <v>1990</v>
      </c>
      <c r="B2" s="18" cm="1">
        <f t="array" ref="B2:B31">TRANSPOSE('Bilogito-valores'!B186:AE186)</f>
        <v>3.6626797500000006</v>
      </c>
    </row>
    <row r="3" spans="1:2">
      <c r="A3" s="1">
        <v>1991</v>
      </c>
      <c r="B3" s="18">
        <v>3.5791516999999997</v>
      </c>
    </row>
    <row r="4" spans="1:2">
      <c r="A4" s="1">
        <v>1992</v>
      </c>
      <c r="B4" s="18">
        <v>3.4848344500000001</v>
      </c>
    </row>
    <row r="5" spans="1:2">
      <c r="A5" s="1">
        <v>1993</v>
      </c>
      <c r="B5" s="18">
        <v>3.38017805</v>
      </c>
    </row>
    <row r="6" spans="1:2">
      <c r="A6" s="1">
        <v>1994</v>
      </c>
      <c r="B6" s="18">
        <v>3.2714480500000005</v>
      </c>
    </row>
    <row r="7" spans="1:2">
      <c r="A7" s="1">
        <v>1995</v>
      </c>
      <c r="B7" s="18">
        <v>3.1645916999999999</v>
      </c>
    </row>
    <row r="8" spans="1:2">
      <c r="A8" s="1">
        <v>1996</v>
      </c>
      <c r="B8" s="18">
        <v>3.0648070499999998</v>
      </c>
    </row>
    <row r="9" spans="1:2">
      <c r="A9" s="1">
        <v>1997</v>
      </c>
      <c r="B9" s="18">
        <v>2.9862054999999996</v>
      </c>
    </row>
    <row r="10" spans="1:2">
      <c r="A10" s="1">
        <v>1998</v>
      </c>
      <c r="B10" s="18">
        <v>2.9350868500000002</v>
      </c>
    </row>
    <row r="11" spans="1:2">
      <c r="A11" s="1">
        <v>1999</v>
      </c>
      <c r="B11" s="18">
        <v>2.9008273499999992</v>
      </c>
    </row>
    <row r="12" spans="1:2">
      <c r="A12" s="1">
        <v>2000</v>
      </c>
      <c r="B12" s="18">
        <v>2.8531692000000004</v>
      </c>
    </row>
    <row r="13" spans="1:2">
      <c r="A13" s="1">
        <v>2001</v>
      </c>
      <c r="B13" s="18">
        <v>2.7874788500000003</v>
      </c>
    </row>
    <row r="14" spans="1:2">
      <c r="A14" s="1">
        <v>2002</v>
      </c>
      <c r="B14" s="18">
        <v>2.7126374500000008</v>
      </c>
    </row>
    <row r="15" spans="1:2">
      <c r="A15" s="1">
        <v>2003</v>
      </c>
      <c r="B15" s="18">
        <v>2.6462943499999998</v>
      </c>
    </row>
    <row r="16" spans="1:2">
      <c r="A16" s="1">
        <v>2004</v>
      </c>
      <c r="B16" s="18">
        <v>2.5940224000000001</v>
      </c>
    </row>
    <row r="17" spans="1:2">
      <c r="A17" s="1">
        <v>2005</v>
      </c>
      <c r="B17" s="18">
        <v>2.5516900499999999</v>
      </c>
    </row>
    <row r="18" spans="1:2">
      <c r="A18" s="1">
        <v>2006</v>
      </c>
      <c r="B18" s="18">
        <v>2.5166706999999997</v>
      </c>
    </row>
    <row r="19" spans="1:2">
      <c r="A19" s="1">
        <v>2007</v>
      </c>
      <c r="B19" s="18">
        <v>2.4863510500000006</v>
      </c>
    </row>
    <row r="20" spans="1:2">
      <c r="A20" s="1">
        <v>2008</v>
      </c>
      <c r="B20" s="18">
        <v>2.4556469500000002</v>
      </c>
    </row>
    <row r="21" spans="1:2">
      <c r="A21" s="1">
        <v>2009</v>
      </c>
      <c r="B21" s="18">
        <v>2.4188901499999997</v>
      </c>
    </row>
    <row r="22" spans="1:2">
      <c r="A22" s="1">
        <v>2010</v>
      </c>
      <c r="B22" s="18">
        <v>2.3705194000000001</v>
      </c>
    </row>
    <row r="23" spans="1:2">
      <c r="A23" s="1">
        <v>2011</v>
      </c>
      <c r="B23" s="18">
        <v>2.3150697999999998</v>
      </c>
    </row>
    <row r="24" spans="1:2">
      <c r="A24" s="1">
        <v>2012</v>
      </c>
      <c r="B24" s="18">
        <v>2.2586536499999994</v>
      </c>
    </row>
    <row r="25" spans="1:2">
      <c r="A25" s="1">
        <v>2013</v>
      </c>
      <c r="B25" s="18">
        <v>2.2153562999999998</v>
      </c>
    </row>
    <row r="26" spans="1:2">
      <c r="A26" s="1">
        <v>2014</v>
      </c>
      <c r="B26" s="18">
        <v>2.1778705999999994</v>
      </c>
    </row>
    <row r="27" spans="1:2">
      <c r="A27" s="1">
        <v>2015</v>
      </c>
      <c r="B27" s="18">
        <v>2.1358990499999999</v>
      </c>
    </row>
    <row r="28" spans="1:2">
      <c r="A28" s="1">
        <v>2016</v>
      </c>
      <c r="B28" s="18">
        <v>2.0806739499999996</v>
      </c>
    </row>
    <row r="29" spans="1:2">
      <c r="A29" s="1">
        <v>2017</v>
      </c>
      <c r="B29" s="18">
        <v>2.0401937500000003</v>
      </c>
    </row>
    <row r="30" spans="1:2">
      <c r="A30" s="1">
        <v>2018</v>
      </c>
      <c r="B30" s="18">
        <v>2.0289327999999998</v>
      </c>
    </row>
    <row r="31" spans="1:2">
      <c r="A31" s="1">
        <v>2019</v>
      </c>
      <c r="B31" s="18">
        <v>2.0177295000000002</v>
      </c>
    </row>
    <row r="32" spans="1:2">
      <c r="A32" s="1">
        <v>2020</v>
      </c>
      <c r="B32" s="18">
        <v>1.9854682279135301</v>
      </c>
    </row>
    <row r="33" spans="1:2">
      <c r="A33" s="1">
        <v>2021</v>
      </c>
      <c r="B33" s="18">
        <v>1.9425844596111299</v>
      </c>
    </row>
    <row r="34" spans="1:2">
      <c r="A34" s="1">
        <v>2022</v>
      </c>
      <c r="B34" s="18">
        <v>1.9067111742038001</v>
      </c>
    </row>
    <row r="35" spans="1:2">
      <c r="A35" s="1">
        <v>2023</v>
      </c>
      <c r="B35" s="18">
        <v>1.8812483225724901</v>
      </c>
    </row>
    <row r="36" spans="1:2">
      <c r="A36" s="1">
        <v>2024</v>
      </c>
      <c r="B36" s="18">
        <v>1.85878707441433</v>
      </c>
    </row>
    <row r="37" spans="1:2">
      <c r="A37" s="1">
        <v>2025</v>
      </c>
      <c r="B37" s="18">
        <v>1.83348052274602</v>
      </c>
    </row>
    <row r="38" spans="1:2">
      <c r="A38" s="1">
        <v>2026</v>
      </c>
      <c r="B38" s="18">
        <v>1.8064149920633501</v>
      </c>
    </row>
    <row r="39" spans="1:2">
      <c r="A39" s="1">
        <v>2027</v>
      </c>
      <c r="B39" s="18">
        <v>1.7814243459318699</v>
      </c>
    </row>
    <row r="40" spans="1:2">
      <c r="A40" s="1">
        <v>2028</v>
      </c>
      <c r="B40" s="18">
        <v>1.75990594737036</v>
      </c>
    </row>
    <row r="41" spans="1:2">
      <c r="A41" s="1">
        <v>2029</v>
      </c>
      <c r="B41" s="18">
        <v>1.74054179612982</v>
      </c>
    </row>
    <row r="42" spans="1:2">
      <c r="A42" s="1">
        <v>2030</v>
      </c>
      <c r="B42" s="18">
        <v>1.7218535085939699</v>
      </c>
    </row>
    <row r="43" spans="1:2">
      <c r="A43" s="1">
        <v>2031</v>
      </c>
      <c r="B43" s="18">
        <v>1.70372667256615</v>
      </c>
    </row>
    <row r="44" spans="1:2">
      <c r="A44" s="1">
        <v>2032</v>
      </c>
      <c r="B44" s="18">
        <v>1.6868431680479901</v>
      </c>
    </row>
    <row r="45" spans="1:2">
      <c r="A45" s="1">
        <v>2033</v>
      </c>
      <c r="B45" s="18">
        <v>1.6715592400539501</v>
      </c>
    </row>
    <row r="46" spans="1:2">
      <c r="A46" s="1">
        <v>2034</v>
      </c>
      <c r="B46" s="18">
        <v>1.65763793918062</v>
      </c>
    </row>
    <row r="47" spans="1:2">
      <c r="A47" s="1">
        <v>2035</v>
      </c>
      <c r="B47" s="18">
        <v>1.64470172828529</v>
      </c>
    </row>
    <row r="48" spans="1:2">
      <c r="A48" s="1">
        <v>2036</v>
      </c>
      <c r="B48" s="18">
        <v>1.6326118448070299</v>
      </c>
    </row>
    <row r="49" spans="1:2">
      <c r="A49" s="1">
        <v>2037</v>
      </c>
      <c r="B49" s="18">
        <v>1.62142939678719</v>
      </c>
    </row>
    <row r="50" spans="1:2">
      <c r="A50" s="1">
        <v>2038</v>
      </c>
      <c r="B50" s="18">
        <v>1.6111947206019801</v>
      </c>
    </row>
    <row r="51" spans="1:2">
      <c r="A51" s="1">
        <v>2039</v>
      </c>
      <c r="B51" s="18">
        <v>1.6018343454765001</v>
      </c>
    </row>
    <row r="52" spans="1:2">
      <c r="A52" s="1">
        <v>2040</v>
      </c>
      <c r="B52" s="18">
        <v>1.5932287611918301</v>
      </c>
    </row>
    <row r="53" spans="1:2">
      <c r="A53" s="1">
        <v>2041</v>
      </c>
      <c r="B53" s="18">
        <v>1.5852966794696499</v>
      </c>
    </row>
    <row r="54" spans="1:2">
      <c r="A54" s="1">
        <v>2042</v>
      </c>
      <c r="B54" s="18">
        <v>1.57800376383576</v>
      </c>
    </row>
    <row r="55" spans="1:2">
      <c r="A55" s="1">
        <v>2043</v>
      </c>
      <c r="B55" s="18">
        <v>1.5713231564573</v>
      </c>
    </row>
    <row r="56" spans="1:2">
      <c r="A56" s="1">
        <v>2044</v>
      </c>
      <c r="B56" s="18">
        <v>1.56521044455324</v>
      </c>
    </row>
    <row r="57" spans="1:2">
      <c r="A57" s="1">
        <v>2045</v>
      </c>
      <c r="B57" s="18">
        <v>1.55961121460731</v>
      </c>
    </row>
    <row r="58" spans="1:2">
      <c r="A58" s="1">
        <v>2046</v>
      </c>
      <c r="B58" s="18">
        <v>1.5544779553915899</v>
      </c>
    </row>
    <row r="59" spans="1:2">
      <c r="A59" s="1">
        <v>2047</v>
      </c>
      <c r="B59" s="18">
        <v>1.5497748406026599</v>
      </c>
    </row>
    <row r="60" spans="1:2">
      <c r="A60" s="1">
        <v>2048</v>
      </c>
      <c r="B60" s="18">
        <v>1.54547131147975</v>
      </c>
    </row>
    <row r="61" spans="1:2">
      <c r="A61" s="1">
        <v>2049</v>
      </c>
      <c r="B61" s="18">
        <v>1.5415361269558301</v>
      </c>
    </row>
    <row r="62" spans="1:2">
      <c r="A62" s="1">
        <v>2050</v>
      </c>
      <c r="B62" s="18">
        <v>1.53793746799444</v>
      </c>
    </row>
    <row r="63" spans="1:2">
      <c r="A63" s="1">
        <v>2051</v>
      </c>
      <c r="B63" s="18">
        <v>1.5346459392920699</v>
      </c>
    </row>
    <row r="64" spans="1:2">
      <c r="A64" s="1">
        <v>2052</v>
      </c>
      <c r="B64" s="18">
        <v>1.53163593542217</v>
      </c>
    </row>
    <row r="65" spans="1:2">
      <c r="A65" s="1">
        <v>2053</v>
      </c>
      <c r="B65" s="18">
        <v>1.5288846544613901</v>
      </c>
    </row>
    <row r="66" spans="1:2">
      <c r="A66" s="1">
        <v>2054</v>
      </c>
      <c r="B66" s="18">
        <v>1.5263707391211401</v>
      </c>
    </row>
    <row r="67" spans="1:2">
      <c r="A67" s="1">
        <v>2055</v>
      </c>
      <c r="B67" s="18">
        <v>1.5240739475696901</v>
      </c>
    </row>
    <row r="68" spans="1:2">
      <c r="A68" s="1">
        <v>2056</v>
      </c>
      <c r="B68" s="18">
        <v>1.5219755575899201</v>
      </c>
    </row>
    <row r="69" spans="1:2">
      <c r="A69" s="1">
        <v>2057</v>
      </c>
      <c r="B69" s="18">
        <v>1.5200586248583301</v>
      </c>
    </row>
    <row r="70" spans="1:2">
      <c r="A70" s="1">
        <v>2058</v>
      </c>
      <c r="B70" s="18">
        <v>1.5183077921418699</v>
      </c>
    </row>
    <row r="71" spans="1:2">
      <c r="A71" s="1">
        <v>2059</v>
      </c>
      <c r="B71" s="18">
        <v>1.51670894697882</v>
      </c>
    </row>
    <row r="72" spans="1:2">
      <c r="A72" s="1">
        <v>2060</v>
      </c>
      <c r="B72" s="18">
        <v>1.5152490394557601</v>
      </c>
    </row>
    <row r="73" spans="1:2">
      <c r="A73" s="1">
        <v>2061</v>
      </c>
      <c r="B73" s="18">
        <v>1.51391606808512</v>
      </c>
    </row>
    <row r="74" spans="1:2">
      <c r="A74" s="1">
        <v>2062</v>
      </c>
      <c r="B74" s="18">
        <v>1.51269907669746</v>
      </c>
    </row>
    <row r="75" spans="1:2">
      <c r="A75" s="1">
        <v>2063</v>
      </c>
      <c r="B75" s="18">
        <v>1.5115880763523799</v>
      </c>
    </row>
    <row r="76" spans="1:2">
      <c r="A76" s="1">
        <v>2064</v>
      </c>
      <c r="B76" s="18">
        <v>1.51057392850022</v>
      </c>
    </row>
    <row r="77" spans="1:2">
      <c r="A77" s="1">
        <v>2065</v>
      </c>
      <c r="B77" s="18">
        <v>1.50964825239119</v>
      </c>
    </row>
    <row r="78" spans="1:2">
      <c r="A78" s="1">
        <v>2066</v>
      </c>
      <c r="B78" s="18">
        <v>1.5088033704674799</v>
      </c>
    </row>
    <row r="79" spans="1:2">
      <c r="A79" s="1">
        <v>2067</v>
      </c>
      <c r="B79" s="18">
        <v>1.5080322660347301</v>
      </c>
    </row>
    <row r="80" spans="1:2">
      <c r="A80" s="1">
        <v>2068</v>
      </c>
      <c r="B80" s="18">
        <v>1.5073285324516501</v>
      </c>
    </row>
    <row r="81" spans="1:2">
      <c r="A81" s="1">
        <v>2069</v>
      </c>
      <c r="B81" s="18">
        <v>1.50668631601548</v>
      </c>
    </row>
    <row r="82" spans="1:2">
      <c r="A82" s="1">
        <v>2070</v>
      </c>
      <c r="B82" s="18">
        <v>1.5061002641004799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6B01-2863-4D16-BEF2-6086DF213D19}">
  <sheetPr codeName="Hoja4">
    <tabColor theme="7" tint="0.79998168889431442"/>
  </sheetPr>
  <dimension ref="A1:CD88"/>
  <sheetViews>
    <sheetView tabSelected="1" topLeftCell="A62" zoomScale="160" zoomScaleNormal="160" workbookViewId="0">
      <selection activeCell="K79" sqref="K79"/>
    </sheetView>
  </sheetViews>
  <sheetFormatPr baseColWidth="10" defaultColWidth="11.5" defaultRowHeight="12"/>
  <cols>
    <col min="1" max="1" width="16.5" style="1" customWidth="1"/>
    <col min="2" max="3" width="11.5" style="1"/>
    <col min="4" max="4" width="10.5" style="1" customWidth="1"/>
    <col min="5" max="16384" width="11.5" style="1"/>
  </cols>
  <sheetData>
    <row r="1" spans="1:31">
      <c r="A1" s="19"/>
      <c r="B1" s="19"/>
      <c r="C1" s="3"/>
    </row>
    <row r="3" spans="1:31" s="6" customFormat="1">
      <c r="A3" s="5"/>
    </row>
    <row r="4" spans="1:31">
      <c r="A4" s="1" t="s">
        <v>42</v>
      </c>
    </row>
    <row r="6" spans="1:31" ht="13">
      <c r="A6" s="9" t="s">
        <v>36</v>
      </c>
      <c r="B6" s="10" t="s">
        <v>35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13">
      <c r="A7" s="9" t="s">
        <v>16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13">
      <c r="A8" s="9" t="s">
        <v>17</v>
      </c>
      <c r="B8" s="11">
        <f>[1]Bilogito!B103</f>
        <v>0.64102797285709168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3">
      <c r="A9" s="9" t="s">
        <v>18</v>
      </c>
      <c r="B9" s="11">
        <f>[1]Bilogito!B104</f>
        <v>-0.16222360965457111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ht="13">
      <c r="A10" s="9" t="s">
        <v>19</v>
      </c>
      <c r="B10" s="11">
        <f>[1]Bilogito!B105</f>
        <v>-0.96361336723916957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13">
      <c r="A11" s="9" t="s">
        <v>20</v>
      </c>
      <c r="B11" s="11">
        <f>[1]Bilogito!B106</f>
        <v>-1.9360233104839397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3">
      <c r="A12" s="9" t="s">
        <v>21</v>
      </c>
      <c r="B12" s="11">
        <f>[1]Bilogito!B107</f>
        <v>-3.2934842366341379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ht="13">
      <c r="A13" s="9" t="s">
        <v>22</v>
      </c>
      <c r="B13" s="11">
        <f>[1]Bilogito!B108</f>
        <v>-5.2901897366405279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1" ht="13">
      <c r="B14" s="11"/>
    </row>
    <row r="15" spans="1:31" s="6" customFormat="1">
      <c r="A15" s="5" t="s">
        <v>48</v>
      </c>
    </row>
    <row r="16" spans="1:31">
      <c r="A16" s="1" t="s">
        <v>43</v>
      </c>
    </row>
    <row r="18" spans="1:52" ht="13">
      <c r="A18" s="9" t="s">
        <v>23</v>
      </c>
      <c r="B18" s="10">
        <v>2020</v>
      </c>
      <c r="C18" s="10">
        <v>2021</v>
      </c>
      <c r="D18" s="10">
        <v>2022</v>
      </c>
      <c r="E18" s="10">
        <v>2023</v>
      </c>
      <c r="F18" s="10">
        <v>2024</v>
      </c>
      <c r="G18" s="10">
        <v>2025</v>
      </c>
      <c r="H18" s="10">
        <v>2026</v>
      </c>
      <c r="I18" s="10">
        <v>2027</v>
      </c>
      <c r="J18" s="10">
        <v>2028</v>
      </c>
      <c r="K18" s="10">
        <v>2029</v>
      </c>
      <c r="L18" s="10">
        <v>2030</v>
      </c>
      <c r="M18" s="10">
        <v>2031</v>
      </c>
      <c r="N18" s="10">
        <v>2032</v>
      </c>
      <c r="O18" s="10">
        <v>2033</v>
      </c>
      <c r="P18" s="10">
        <v>2034</v>
      </c>
      <c r="Q18" s="10">
        <v>2035</v>
      </c>
      <c r="R18" s="10">
        <v>2036</v>
      </c>
      <c r="S18" s="10">
        <v>2037</v>
      </c>
      <c r="T18" s="10">
        <v>2038</v>
      </c>
      <c r="U18" s="10">
        <v>2039</v>
      </c>
      <c r="V18" s="10">
        <v>2040</v>
      </c>
      <c r="W18" s="10">
        <v>2041</v>
      </c>
      <c r="X18" s="10">
        <v>2042</v>
      </c>
      <c r="Y18" s="10">
        <v>2043</v>
      </c>
      <c r="Z18" s="10">
        <v>2044</v>
      </c>
      <c r="AA18" s="10">
        <v>2045</v>
      </c>
      <c r="AB18" s="10">
        <v>2046</v>
      </c>
      <c r="AC18" s="10">
        <v>2047</v>
      </c>
      <c r="AD18" s="10">
        <v>2048</v>
      </c>
      <c r="AE18" s="10">
        <v>2049</v>
      </c>
      <c r="AF18" s="10">
        <v>2050</v>
      </c>
      <c r="AG18" s="10">
        <v>2051</v>
      </c>
      <c r="AH18" s="10">
        <v>2052</v>
      </c>
      <c r="AI18" s="10">
        <v>2053</v>
      </c>
      <c r="AJ18" s="10">
        <v>2054</v>
      </c>
      <c r="AK18" s="10">
        <v>2055</v>
      </c>
      <c r="AL18" s="10">
        <v>2056</v>
      </c>
      <c r="AM18" s="10">
        <v>2057</v>
      </c>
      <c r="AN18" s="10">
        <v>2058</v>
      </c>
      <c r="AO18" s="10">
        <v>2059</v>
      </c>
      <c r="AP18" s="10">
        <v>2060</v>
      </c>
      <c r="AQ18" s="10">
        <v>2061</v>
      </c>
      <c r="AR18" s="10">
        <v>2062</v>
      </c>
      <c r="AS18" s="10">
        <v>2063</v>
      </c>
      <c r="AT18" s="10">
        <v>2064</v>
      </c>
      <c r="AU18" s="10">
        <v>2065</v>
      </c>
      <c r="AV18" s="10">
        <v>2066</v>
      </c>
      <c r="AW18" s="10">
        <v>2067</v>
      </c>
      <c r="AX18" s="10">
        <v>2068</v>
      </c>
      <c r="AY18" s="10">
        <v>2069</v>
      </c>
      <c r="AZ18" s="10">
        <v>2070</v>
      </c>
    </row>
    <row r="19" spans="1:52" ht="13">
      <c r="A19" s="9" t="s">
        <v>15</v>
      </c>
      <c r="B19" s="11">
        <v>-9.0936622356322203E-2</v>
      </c>
      <c r="C19" s="11">
        <v>-9.63750038459779E-2</v>
      </c>
      <c r="D19" s="11">
        <v>-0.101813385335634</v>
      </c>
      <c r="E19" s="11">
        <v>-0.107251766825287</v>
      </c>
      <c r="F19" s="11">
        <v>-0.11269014831494301</v>
      </c>
      <c r="G19" s="11">
        <v>-0.11812852980459899</v>
      </c>
      <c r="H19" s="11">
        <v>-0.123566911294255</v>
      </c>
      <c r="I19" s="11">
        <v>-0.12900529278390799</v>
      </c>
      <c r="J19" s="11">
        <v>-0.13444367427356399</v>
      </c>
      <c r="K19" s="11">
        <v>-0.13988205576321999</v>
      </c>
      <c r="L19" s="11">
        <v>-0.145320437252874</v>
      </c>
      <c r="M19" s="11">
        <v>-0.150758818742529</v>
      </c>
      <c r="N19" s="11">
        <v>-0.156197200232185</v>
      </c>
      <c r="O19" s="11">
        <v>-0.16163558172183901</v>
      </c>
      <c r="P19" s="11">
        <v>-0.16707396321149501</v>
      </c>
      <c r="Q19" s="11">
        <v>-0.17251234470115101</v>
      </c>
      <c r="R19" s="11">
        <v>-0.17795072619080601</v>
      </c>
      <c r="S19" s="11">
        <v>-0.18338910768045999</v>
      </c>
      <c r="T19" s="11">
        <v>-0.18882748917011599</v>
      </c>
      <c r="U19" s="11">
        <v>-0.19426587065977199</v>
      </c>
      <c r="V19" s="11">
        <v>-0.199704252149425</v>
      </c>
      <c r="W19" s="11">
        <v>-0.205142633639081</v>
      </c>
      <c r="X19" s="11">
        <v>-0.210581015128737</v>
      </c>
      <c r="Y19" s="11">
        <v>-0.21601939661839101</v>
      </c>
      <c r="Z19" s="11">
        <v>-0.22145777810804601</v>
      </c>
      <c r="AA19" s="11">
        <v>-0.22689615959770201</v>
      </c>
      <c r="AB19" s="11">
        <v>-0.23233454108735799</v>
      </c>
      <c r="AC19" s="11">
        <v>-0.23777292257701199</v>
      </c>
      <c r="AD19" s="11">
        <v>-0.24321130406666699</v>
      </c>
      <c r="AE19" s="11">
        <v>-0.248649685556323</v>
      </c>
      <c r="AF19" s="11">
        <v>-0.25408806704597697</v>
      </c>
      <c r="AG19" s="11">
        <v>-0.259526448535633</v>
      </c>
      <c r="AH19" s="11">
        <v>-0.26496483002528798</v>
      </c>
      <c r="AI19" s="11">
        <v>-0.27040321151494401</v>
      </c>
      <c r="AJ19" s="11">
        <v>-0.27584159300459798</v>
      </c>
      <c r="AK19" s="11">
        <v>-0.28127997449425401</v>
      </c>
      <c r="AL19" s="11">
        <v>-0.28671835598390899</v>
      </c>
      <c r="AM19" s="11">
        <v>-0.29215673747356302</v>
      </c>
      <c r="AN19" s="11">
        <v>-0.297595118963219</v>
      </c>
      <c r="AO19" s="11">
        <v>-0.30303350045287503</v>
      </c>
      <c r="AP19" s="11">
        <v>-0.308471881942529</v>
      </c>
      <c r="AQ19" s="11">
        <v>-0.31391026343218398</v>
      </c>
      <c r="AR19" s="11">
        <v>-0.31934864492184001</v>
      </c>
      <c r="AS19" s="11">
        <v>-0.32478702641149598</v>
      </c>
      <c r="AT19" s="11">
        <v>-0.33022540790115001</v>
      </c>
      <c r="AU19" s="11">
        <v>-0.33566378939080499</v>
      </c>
      <c r="AV19" s="11">
        <v>-0.34110217088046102</v>
      </c>
      <c r="AW19" s="11">
        <v>-0.346540552370115</v>
      </c>
      <c r="AX19" s="11">
        <v>-0.35197893385977103</v>
      </c>
      <c r="AY19" s="11">
        <v>-0.357417315349426</v>
      </c>
      <c r="AZ19" s="11">
        <v>-0.36285569683907998</v>
      </c>
    </row>
    <row r="20" spans="1:52" ht="13">
      <c r="A20" s="9" t="s">
        <v>14</v>
      </c>
      <c r="B20" s="11">
        <v>1.1538082108160901</v>
      </c>
      <c r="C20" s="11">
        <v>1.1618729956924001</v>
      </c>
      <c r="D20" s="11">
        <v>1.1699377805687099</v>
      </c>
      <c r="E20" s="11">
        <v>1.1780025654450099</v>
      </c>
      <c r="F20" s="11">
        <v>1.1860673503213199</v>
      </c>
      <c r="G20" s="11">
        <v>1.19413213519763</v>
      </c>
      <c r="H20" s="11">
        <v>1.20219692007393</v>
      </c>
      <c r="I20" s="11">
        <v>1.21026170495024</v>
      </c>
      <c r="J20" s="11">
        <v>1.21832648982655</v>
      </c>
      <c r="K20" s="11">
        <v>1.22639127470286</v>
      </c>
      <c r="L20" s="11">
        <v>1.23445605957916</v>
      </c>
      <c r="M20" s="11">
        <v>1.2425208444554701</v>
      </c>
      <c r="N20" s="11">
        <v>1.2505856293317801</v>
      </c>
      <c r="O20" s="11">
        <v>1.2586504142080801</v>
      </c>
      <c r="P20" s="11">
        <v>1.2667151990843899</v>
      </c>
      <c r="Q20" s="11">
        <v>1.2747799839606999</v>
      </c>
      <c r="R20" s="11">
        <v>1.2828447688369999</v>
      </c>
      <c r="S20" s="11">
        <v>1.29090955371331</v>
      </c>
      <c r="T20" s="11">
        <v>1.29897433858962</v>
      </c>
      <c r="U20" s="11">
        <v>1.30703912346592</v>
      </c>
      <c r="V20" s="11">
        <v>1.31510390834223</v>
      </c>
      <c r="W20" s="11">
        <v>1.32316869321854</v>
      </c>
      <c r="X20" s="11">
        <v>1.3312334780948401</v>
      </c>
      <c r="Y20" s="11">
        <v>1.3392982629711501</v>
      </c>
      <c r="Z20" s="11">
        <v>1.3473630478474601</v>
      </c>
      <c r="AA20" s="11">
        <v>1.3554278327237701</v>
      </c>
      <c r="AB20" s="11">
        <v>1.3634926176000699</v>
      </c>
      <c r="AC20" s="11">
        <v>1.3715574024763799</v>
      </c>
      <c r="AD20" s="11">
        <v>1.3796221873526899</v>
      </c>
      <c r="AE20" s="11">
        <v>1.38768697222899</v>
      </c>
      <c r="AF20" s="11">
        <v>1.3957517571053</v>
      </c>
      <c r="AG20" s="11">
        <v>1.40381654198161</v>
      </c>
      <c r="AH20" s="11">
        <v>1.41188132685792</v>
      </c>
      <c r="AI20" s="11">
        <v>1.41994611173422</v>
      </c>
      <c r="AJ20" s="11">
        <v>1.42801089661053</v>
      </c>
      <c r="AK20" s="11">
        <v>1.4360756814868401</v>
      </c>
      <c r="AL20" s="11">
        <v>1.4441404663631401</v>
      </c>
      <c r="AM20" s="11">
        <v>1.4522052512394501</v>
      </c>
      <c r="AN20" s="11">
        <v>1.4602700361157599</v>
      </c>
      <c r="AO20" s="11">
        <v>1.4683348209920699</v>
      </c>
      <c r="AP20" s="11">
        <v>1.4763996058683699</v>
      </c>
      <c r="AQ20" s="11">
        <v>1.48446439074468</v>
      </c>
      <c r="AR20" s="11">
        <v>1.49252917562098</v>
      </c>
      <c r="AS20" s="11">
        <v>1.50059396049729</v>
      </c>
      <c r="AT20" s="11">
        <v>1.5086587453736</v>
      </c>
      <c r="AU20" s="11">
        <v>1.51672353024991</v>
      </c>
      <c r="AV20" s="11">
        <v>1.52478831512621</v>
      </c>
      <c r="AW20" s="11">
        <v>1.5328531000025201</v>
      </c>
      <c r="AX20" s="11">
        <v>1.5409178848788301</v>
      </c>
      <c r="AY20" s="11">
        <v>1.5489826697551301</v>
      </c>
      <c r="AZ20" s="11">
        <v>1.5570474546314399</v>
      </c>
    </row>
    <row r="21" spans="1:52" ht="13">
      <c r="A21" s="9" t="s">
        <v>0</v>
      </c>
      <c r="B21" s="11">
        <v>1.9854682279135301</v>
      </c>
      <c r="C21" s="11">
        <v>1.9425844596111299</v>
      </c>
      <c r="D21" s="11">
        <v>1.9067111742038001</v>
      </c>
      <c r="E21" s="11">
        <v>1.8812483225724901</v>
      </c>
      <c r="F21" s="11">
        <v>1.85878707441433</v>
      </c>
      <c r="G21" s="11">
        <v>1.83348052274602</v>
      </c>
      <c r="H21" s="11">
        <v>1.8064149920633501</v>
      </c>
      <c r="I21" s="11">
        <v>1.7814243459318699</v>
      </c>
      <c r="J21" s="11">
        <v>1.75990594737036</v>
      </c>
      <c r="K21" s="11">
        <v>1.74054179612982</v>
      </c>
      <c r="L21" s="11">
        <v>1.7218535085939699</v>
      </c>
      <c r="M21" s="11">
        <v>1.70372667256615</v>
      </c>
      <c r="N21" s="11">
        <v>1.6868431680479901</v>
      </c>
      <c r="O21" s="11">
        <v>1.6715592400539501</v>
      </c>
      <c r="P21" s="11">
        <v>1.65763793918062</v>
      </c>
      <c r="Q21" s="11">
        <v>1.64470172828529</v>
      </c>
      <c r="R21" s="11">
        <v>1.6326118448070299</v>
      </c>
      <c r="S21" s="11">
        <v>1.62142939678719</v>
      </c>
      <c r="T21" s="11">
        <v>1.6111947206019801</v>
      </c>
      <c r="U21" s="11">
        <v>1.6018343454765001</v>
      </c>
      <c r="V21" s="11">
        <v>1.5932287611918301</v>
      </c>
      <c r="W21" s="11">
        <v>1.5852966794696499</v>
      </c>
      <c r="X21" s="11">
        <v>1.57800376383576</v>
      </c>
      <c r="Y21" s="11">
        <v>1.5713231564573</v>
      </c>
      <c r="Z21" s="11">
        <v>1.56521044455324</v>
      </c>
      <c r="AA21" s="11">
        <v>1.55961121460731</v>
      </c>
      <c r="AB21" s="11">
        <v>1.5544779553915899</v>
      </c>
      <c r="AC21" s="11">
        <v>1.5497748406026599</v>
      </c>
      <c r="AD21" s="11">
        <v>1.54547131147975</v>
      </c>
      <c r="AE21" s="11">
        <v>1.5415361269558301</v>
      </c>
      <c r="AF21" s="11">
        <v>1.53793746799444</v>
      </c>
      <c r="AG21" s="1">
        <v>1.5346459392920699</v>
      </c>
      <c r="AH21" s="1">
        <v>1.53163593542217</v>
      </c>
      <c r="AI21" s="1">
        <v>1.5288846544613901</v>
      </c>
      <c r="AJ21" s="1">
        <v>1.5263707391211401</v>
      </c>
      <c r="AK21" s="1">
        <v>1.5240739475696901</v>
      </c>
      <c r="AL21" s="1">
        <v>1.5219755575899201</v>
      </c>
      <c r="AM21" s="1">
        <v>1.5200586248583301</v>
      </c>
      <c r="AN21" s="1">
        <v>1.5183077921418699</v>
      </c>
      <c r="AO21" s="1">
        <v>1.51670894697882</v>
      </c>
      <c r="AP21" s="1">
        <v>1.5152490394557601</v>
      </c>
      <c r="AQ21" s="1">
        <v>1.51391606808512</v>
      </c>
      <c r="AR21" s="1">
        <v>1.51269907669746</v>
      </c>
      <c r="AS21" s="1">
        <v>1.5115880763523799</v>
      </c>
      <c r="AT21" s="1">
        <v>1.51057392850022</v>
      </c>
      <c r="AU21" s="1">
        <v>1.50964825239119</v>
      </c>
      <c r="AV21" s="1">
        <v>1.5088033704674799</v>
      </c>
      <c r="AW21" s="1">
        <v>1.5080322660347301</v>
      </c>
      <c r="AX21" s="1">
        <v>1.5073285324516501</v>
      </c>
      <c r="AY21" s="1">
        <v>1.50668631601548</v>
      </c>
      <c r="AZ21" s="1">
        <v>1.5061002641004799</v>
      </c>
    </row>
    <row r="22" spans="1:52" ht="13">
      <c r="A22" s="9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4" spans="1:52" s="6" customFormat="1">
      <c r="A24" s="5" t="s">
        <v>9</v>
      </c>
    </row>
    <row r="25" spans="1:52">
      <c r="A25" s="1" t="s">
        <v>43</v>
      </c>
    </row>
    <row r="27" spans="1:52" ht="13">
      <c r="A27" s="9" t="s">
        <v>23</v>
      </c>
      <c r="B27" s="10">
        <v>2020</v>
      </c>
      <c r="C27" s="10">
        <v>2021</v>
      </c>
      <c r="D27" s="10">
        <v>2022</v>
      </c>
      <c r="E27" s="10">
        <v>2023</v>
      </c>
      <c r="F27" s="10">
        <v>2024</v>
      </c>
      <c r="G27" s="10">
        <v>2025</v>
      </c>
      <c r="H27" s="10">
        <v>2026</v>
      </c>
      <c r="I27" s="10">
        <v>2027</v>
      </c>
      <c r="J27" s="10">
        <v>2028</v>
      </c>
      <c r="K27" s="10">
        <v>2029</v>
      </c>
      <c r="L27" s="10">
        <v>2030</v>
      </c>
      <c r="M27" s="10">
        <v>2031</v>
      </c>
      <c r="N27" s="10">
        <v>2032</v>
      </c>
      <c r="O27" s="10">
        <v>2033</v>
      </c>
      <c r="P27" s="10">
        <v>2034</v>
      </c>
      <c r="Q27" s="10">
        <v>2035</v>
      </c>
      <c r="R27" s="10">
        <v>2036</v>
      </c>
      <c r="S27" s="10">
        <v>2037</v>
      </c>
      <c r="T27" s="10">
        <v>2038</v>
      </c>
      <c r="U27" s="10">
        <v>2039</v>
      </c>
      <c r="V27" s="10">
        <v>2040</v>
      </c>
      <c r="W27" s="10">
        <v>2041</v>
      </c>
      <c r="X27" s="10">
        <v>2042</v>
      </c>
      <c r="Y27" s="10">
        <v>2043</v>
      </c>
      <c r="Z27" s="10">
        <v>2044</v>
      </c>
      <c r="AA27" s="10">
        <v>2045</v>
      </c>
      <c r="AB27" s="10">
        <v>2046</v>
      </c>
      <c r="AC27" s="10">
        <v>2047</v>
      </c>
      <c r="AD27" s="10">
        <v>2048</v>
      </c>
      <c r="AE27" s="10">
        <v>2049</v>
      </c>
      <c r="AF27" s="10">
        <v>2050</v>
      </c>
      <c r="AG27" s="10">
        <v>2051</v>
      </c>
      <c r="AH27" s="10">
        <v>2052</v>
      </c>
      <c r="AI27" s="10">
        <v>2053</v>
      </c>
      <c r="AJ27" s="10">
        <v>2054</v>
      </c>
      <c r="AK27" s="10">
        <v>2055</v>
      </c>
      <c r="AL27" s="10">
        <v>2056</v>
      </c>
      <c r="AM27" s="10">
        <v>2057</v>
      </c>
      <c r="AN27" s="10">
        <v>2058</v>
      </c>
      <c r="AO27" s="10">
        <v>2059</v>
      </c>
      <c r="AP27" s="10">
        <v>2060</v>
      </c>
      <c r="AQ27" s="10">
        <v>2061</v>
      </c>
      <c r="AR27" s="10">
        <v>2062</v>
      </c>
      <c r="AS27" s="10">
        <v>2063</v>
      </c>
      <c r="AT27" s="10">
        <v>2064</v>
      </c>
      <c r="AU27" s="10">
        <v>2065</v>
      </c>
      <c r="AV27" s="10">
        <v>2066</v>
      </c>
      <c r="AW27" s="10">
        <v>2067</v>
      </c>
      <c r="AX27" s="10">
        <v>2068</v>
      </c>
      <c r="AY27" s="10">
        <v>2069</v>
      </c>
      <c r="AZ27" s="10">
        <v>2070</v>
      </c>
    </row>
    <row r="28" spans="1:52" ht="13">
      <c r="A28" s="9" t="s">
        <v>16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52" ht="13">
      <c r="A29" s="9" t="s">
        <v>17</v>
      </c>
      <c r="B29" s="11">
        <f>B$19+B$20*$B8</f>
        <v>0.64868671608898398</v>
      </c>
      <c r="C29" s="11">
        <f t="shared" ref="C29:AZ29" si="0">C$19+C$20*$B8</f>
        <v>0.64841808730011774</v>
      </c>
      <c r="D29" s="11">
        <f t="shared" si="0"/>
        <v>0.64814945851125105</v>
      </c>
      <c r="E29" s="11">
        <f t="shared" si="0"/>
        <v>0.64788082972238115</v>
      </c>
      <c r="F29" s="11">
        <f t="shared" si="0"/>
        <v>0.64761220093351479</v>
      </c>
      <c r="G29" s="11">
        <f t="shared" si="0"/>
        <v>0.64734357214464833</v>
      </c>
      <c r="H29" s="11">
        <f t="shared" si="0"/>
        <v>0.64707494335577542</v>
      </c>
      <c r="I29" s="11">
        <f t="shared" si="0"/>
        <v>0.64680631456691184</v>
      </c>
      <c r="J29" s="11">
        <f t="shared" si="0"/>
        <v>0.64653768577804549</v>
      </c>
      <c r="K29" s="11">
        <f t="shared" si="0"/>
        <v>0.64626905698917902</v>
      </c>
      <c r="L29" s="11">
        <f t="shared" si="0"/>
        <v>0.64600042820030812</v>
      </c>
      <c r="M29" s="11">
        <f t="shared" si="0"/>
        <v>0.64573179941144265</v>
      </c>
      <c r="N29" s="11">
        <f t="shared" si="0"/>
        <v>0.6454631706225763</v>
      </c>
      <c r="O29" s="11">
        <f t="shared" si="0"/>
        <v>0.64519454183370539</v>
      </c>
      <c r="P29" s="11">
        <f t="shared" si="0"/>
        <v>0.64492591304483871</v>
      </c>
      <c r="Q29" s="11">
        <f t="shared" si="0"/>
        <v>0.64465728425597235</v>
      </c>
      <c r="R29" s="11">
        <f t="shared" si="0"/>
        <v>0.64438865546710045</v>
      </c>
      <c r="S29" s="11">
        <f t="shared" si="0"/>
        <v>0.64412002667823598</v>
      </c>
      <c r="T29" s="11">
        <f t="shared" si="0"/>
        <v>0.64385139788936963</v>
      </c>
      <c r="U29" s="11">
        <f t="shared" si="0"/>
        <v>0.64358276910049672</v>
      </c>
      <c r="V29" s="11">
        <f t="shared" si="0"/>
        <v>0.64331414031163325</v>
      </c>
      <c r="W29" s="11">
        <f t="shared" si="0"/>
        <v>0.64304551152276668</v>
      </c>
      <c r="X29" s="11">
        <f t="shared" si="0"/>
        <v>0.64277688273389377</v>
      </c>
      <c r="Y29" s="11">
        <f t="shared" si="0"/>
        <v>0.64250825394502942</v>
      </c>
      <c r="Z29" s="11">
        <f t="shared" si="0"/>
        <v>0.64223962515616395</v>
      </c>
      <c r="AA29" s="11">
        <f t="shared" si="0"/>
        <v>0.64197099636729749</v>
      </c>
      <c r="AB29" s="11">
        <f t="shared" si="0"/>
        <v>0.64170236757842458</v>
      </c>
      <c r="AC29" s="11">
        <f t="shared" si="0"/>
        <v>0.64143373878956</v>
      </c>
      <c r="AD29" s="11">
        <f t="shared" si="0"/>
        <v>0.64116511000069454</v>
      </c>
      <c r="AE29" s="11">
        <f t="shared" si="0"/>
        <v>0.64089648121182163</v>
      </c>
      <c r="AF29" s="11">
        <f t="shared" si="0"/>
        <v>0.64062785242295728</v>
      </c>
      <c r="AG29" s="11">
        <f t="shared" si="0"/>
        <v>0.64035922363409081</v>
      </c>
      <c r="AH29" s="11">
        <f t="shared" si="0"/>
        <v>0.64009059484522535</v>
      </c>
      <c r="AI29" s="11">
        <f t="shared" si="0"/>
        <v>0.63982196605635244</v>
      </c>
      <c r="AJ29" s="11">
        <f t="shared" si="0"/>
        <v>0.63955333726748798</v>
      </c>
      <c r="AK29" s="11">
        <f t="shared" si="0"/>
        <v>0.63928470847862151</v>
      </c>
      <c r="AL29" s="11">
        <f t="shared" si="0"/>
        <v>0.63901607968974972</v>
      </c>
      <c r="AM29" s="11">
        <f t="shared" si="0"/>
        <v>0.63874745090088525</v>
      </c>
      <c r="AN29" s="11">
        <f t="shared" si="0"/>
        <v>0.63847882211201867</v>
      </c>
      <c r="AO29" s="11">
        <f t="shared" si="0"/>
        <v>0.6382101933231521</v>
      </c>
      <c r="AP29" s="11">
        <f t="shared" si="0"/>
        <v>0.63794156453428119</v>
      </c>
      <c r="AQ29" s="11">
        <f t="shared" si="0"/>
        <v>0.63767293574541584</v>
      </c>
      <c r="AR29" s="11">
        <f t="shared" si="0"/>
        <v>0.63740430695654293</v>
      </c>
      <c r="AS29" s="11">
        <f t="shared" si="0"/>
        <v>0.63713567816767647</v>
      </c>
      <c r="AT29" s="11">
        <f t="shared" si="0"/>
        <v>0.636867049378812</v>
      </c>
      <c r="AU29" s="11">
        <f t="shared" si="0"/>
        <v>0.63659842058994665</v>
      </c>
      <c r="AV29" s="11">
        <f t="shared" si="0"/>
        <v>0.63632979180107374</v>
      </c>
      <c r="AW29" s="11">
        <f t="shared" si="0"/>
        <v>0.63606116301220927</v>
      </c>
      <c r="AX29" s="11">
        <f t="shared" si="0"/>
        <v>0.63579253422334281</v>
      </c>
      <c r="AY29" s="11">
        <f t="shared" si="0"/>
        <v>0.6355239054344709</v>
      </c>
      <c r="AZ29" s="11">
        <f t="shared" si="0"/>
        <v>0.63525527664560633</v>
      </c>
    </row>
    <row r="30" spans="1:52" ht="13">
      <c r="A30" s="9" t="s">
        <v>18</v>
      </c>
      <c r="B30" s="11">
        <f t="shared" ref="B30:Q34" si="1">B$19+B$20*$B9</f>
        <v>-0.27811155516399072</v>
      </c>
      <c r="C30" s="11">
        <f t="shared" si="1"/>
        <v>-0.28485823516736897</v>
      </c>
      <c r="D30" s="11">
        <f t="shared" si="1"/>
        <v>-0.29160491517074766</v>
      </c>
      <c r="E30" s="11">
        <f t="shared" si="1"/>
        <v>-0.29835159517412169</v>
      </c>
      <c r="F30" s="11">
        <f t="shared" si="1"/>
        <v>-0.30509827517750027</v>
      </c>
      <c r="G30" s="11">
        <f t="shared" si="1"/>
        <v>-0.31184495518087885</v>
      </c>
      <c r="H30" s="11">
        <f t="shared" si="1"/>
        <v>-0.31859163518425582</v>
      </c>
      <c r="I30" s="11">
        <f t="shared" si="1"/>
        <v>-0.32533831518763145</v>
      </c>
      <c r="J30" s="11">
        <f t="shared" si="1"/>
        <v>-0.33208499519101004</v>
      </c>
      <c r="K30" s="11">
        <f t="shared" si="1"/>
        <v>-0.33883167519438862</v>
      </c>
      <c r="L30" s="11">
        <f t="shared" si="1"/>
        <v>-0.34557835519776364</v>
      </c>
      <c r="M30" s="11">
        <f t="shared" si="1"/>
        <v>-0.35232503520114122</v>
      </c>
      <c r="N30" s="11">
        <f t="shared" si="1"/>
        <v>-0.35907171520451986</v>
      </c>
      <c r="O30" s="11">
        <f t="shared" si="1"/>
        <v>-0.36581839520789483</v>
      </c>
      <c r="P30" s="11">
        <f t="shared" si="1"/>
        <v>-0.37256507521127341</v>
      </c>
      <c r="Q30" s="11">
        <f t="shared" si="1"/>
        <v>-0.37931175521465199</v>
      </c>
      <c r="R30" s="11">
        <f t="shared" ref="R30:AZ30" si="2">R$19+R$20*$B9</f>
        <v>-0.38605843521802796</v>
      </c>
      <c r="S30" s="11">
        <f t="shared" si="2"/>
        <v>-0.3928051152214046</v>
      </c>
      <c r="T30" s="11">
        <f t="shared" si="2"/>
        <v>-0.39955179522478318</v>
      </c>
      <c r="U30" s="11">
        <f t="shared" si="2"/>
        <v>-0.40629847522816021</v>
      </c>
      <c r="V30" s="11">
        <f t="shared" si="2"/>
        <v>-0.41304515523153579</v>
      </c>
      <c r="W30" s="11">
        <f t="shared" si="2"/>
        <v>-0.41979183523491437</v>
      </c>
      <c r="X30" s="11">
        <f t="shared" si="2"/>
        <v>-0.42653851523829134</v>
      </c>
      <c r="Y30" s="11">
        <f t="shared" si="2"/>
        <v>-0.43328519524166798</v>
      </c>
      <c r="Z30" s="11">
        <f t="shared" si="2"/>
        <v>-0.44003187524504561</v>
      </c>
      <c r="AA30" s="11">
        <f t="shared" si="2"/>
        <v>-0.44677855524842419</v>
      </c>
      <c r="AB30" s="11">
        <f t="shared" si="2"/>
        <v>-0.45352523525180111</v>
      </c>
      <c r="AC30" s="11">
        <f t="shared" si="2"/>
        <v>-0.46027191525517774</v>
      </c>
      <c r="AD30" s="11">
        <f t="shared" si="2"/>
        <v>-0.46701859525855532</v>
      </c>
      <c r="AE30" s="11">
        <f t="shared" si="2"/>
        <v>-0.47376527526193235</v>
      </c>
      <c r="AF30" s="11">
        <f t="shared" si="2"/>
        <v>-0.48051195526530888</v>
      </c>
      <c r="AG30" s="11">
        <f t="shared" si="2"/>
        <v>-0.48725863526868751</v>
      </c>
      <c r="AH30" s="11">
        <f t="shared" si="2"/>
        <v>-0.49400531527206515</v>
      </c>
      <c r="AI30" s="11">
        <f t="shared" si="2"/>
        <v>-0.50075199527544212</v>
      </c>
      <c r="AJ30" s="11">
        <f t="shared" si="2"/>
        <v>-0.50749867527881865</v>
      </c>
      <c r="AK30" s="11">
        <f t="shared" si="2"/>
        <v>-0.51424535528219728</v>
      </c>
      <c r="AL30" s="11">
        <f t="shared" si="2"/>
        <v>-0.52099203528557325</v>
      </c>
      <c r="AM30" s="11">
        <f t="shared" si="2"/>
        <v>-0.52773871528894989</v>
      </c>
      <c r="AN30" s="11">
        <f t="shared" si="2"/>
        <v>-0.53448539529232852</v>
      </c>
      <c r="AO30" s="11">
        <f t="shared" si="2"/>
        <v>-0.54123207529570716</v>
      </c>
      <c r="AP30" s="11">
        <f t="shared" si="2"/>
        <v>-0.54797875529908202</v>
      </c>
      <c r="AQ30" s="11">
        <f t="shared" si="2"/>
        <v>-0.55472543530245966</v>
      </c>
      <c r="AR30" s="11">
        <f t="shared" si="2"/>
        <v>-0.56147211530583663</v>
      </c>
      <c r="AS30" s="11">
        <f t="shared" si="2"/>
        <v>-0.56821879530921526</v>
      </c>
      <c r="AT30" s="11">
        <f t="shared" si="2"/>
        <v>-0.5749654753125919</v>
      </c>
      <c r="AU30" s="11">
        <f t="shared" si="2"/>
        <v>-0.58171215531596943</v>
      </c>
      <c r="AV30" s="11">
        <f t="shared" si="2"/>
        <v>-0.58845883531934651</v>
      </c>
      <c r="AW30" s="11">
        <f t="shared" si="2"/>
        <v>-0.59520551532272303</v>
      </c>
      <c r="AX30" s="11">
        <f t="shared" si="2"/>
        <v>-0.60195219532610167</v>
      </c>
      <c r="AY30" s="11">
        <f t="shared" si="2"/>
        <v>-0.60869887532947764</v>
      </c>
      <c r="AZ30" s="11">
        <f t="shared" si="2"/>
        <v>-0.61544555533285417</v>
      </c>
    </row>
    <row r="31" spans="1:52" ht="13">
      <c r="A31" s="9" t="s">
        <v>19</v>
      </c>
      <c r="B31" s="11">
        <f t="shared" si="1"/>
        <v>-1.2027616375290164</v>
      </c>
      <c r="C31" s="11">
        <f t="shared" si="1"/>
        <v>-1.2159713535293928</v>
      </c>
      <c r="D31" s="11">
        <f t="shared" si="1"/>
        <v>-1.2291810695297691</v>
      </c>
      <c r="E31" s="11">
        <f t="shared" si="1"/>
        <v>-1.2423907855301333</v>
      </c>
      <c r="F31" s="11">
        <f t="shared" si="1"/>
        <v>-1.2556005015305098</v>
      </c>
      <c r="G31" s="11">
        <f t="shared" si="1"/>
        <v>-1.2688102175308866</v>
      </c>
      <c r="H31" s="11">
        <f t="shared" si="1"/>
        <v>-1.2820199335312534</v>
      </c>
      <c r="I31" s="11">
        <f t="shared" si="1"/>
        <v>-1.2952296495316271</v>
      </c>
      <c r="J31" s="11">
        <f t="shared" si="1"/>
        <v>-1.3084393655320037</v>
      </c>
      <c r="K31" s="11">
        <f t="shared" si="1"/>
        <v>-1.3216490815323803</v>
      </c>
      <c r="L31" s="11">
        <f t="shared" si="1"/>
        <v>-1.3348587975327453</v>
      </c>
      <c r="M31" s="11">
        <f t="shared" si="1"/>
        <v>-1.348068513533121</v>
      </c>
      <c r="N31" s="11">
        <f t="shared" si="1"/>
        <v>-1.3612782295334975</v>
      </c>
      <c r="O31" s="11">
        <f t="shared" si="1"/>
        <v>-1.3744879455338626</v>
      </c>
      <c r="P31" s="11">
        <f t="shared" si="1"/>
        <v>-1.3876976615342391</v>
      </c>
      <c r="Q31" s="11">
        <f t="shared" si="1"/>
        <v>-1.4009073775346155</v>
      </c>
      <c r="R31" s="11">
        <f t="shared" ref="R31:AZ31" si="3">R$19+R$20*$B10</f>
        <v>-1.4141170935349816</v>
      </c>
      <c r="S31" s="11">
        <f t="shared" si="3"/>
        <v>-1.4273268095353562</v>
      </c>
      <c r="T31" s="11">
        <f t="shared" si="3"/>
        <v>-1.440536525535733</v>
      </c>
      <c r="U31" s="11">
        <f t="shared" si="3"/>
        <v>-1.4537462415360998</v>
      </c>
      <c r="V31" s="11">
        <f t="shared" si="3"/>
        <v>-1.4669559575364735</v>
      </c>
      <c r="W31" s="11">
        <f t="shared" si="3"/>
        <v>-1.48016567353685</v>
      </c>
      <c r="X31" s="11">
        <f t="shared" si="3"/>
        <v>-1.4933753895372173</v>
      </c>
      <c r="Y31" s="11">
        <f t="shared" si="3"/>
        <v>-1.5065851055375916</v>
      </c>
      <c r="Z31" s="11">
        <f t="shared" si="3"/>
        <v>-1.5197948215379673</v>
      </c>
      <c r="AA31" s="11">
        <f t="shared" si="3"/>
        <v>-1.5330045375383439</v>
      </c>
      <c r="AB31" s="11">
        <f t="shared" si="3"/>
        <v>-1.5462142535387109</v>
      </c>
      <c r="AC31" s="11">
        <f t="shared" si="3"/>
        <v>-1.5594239695390855</v>
      </c>
      <c r="AD31" s="11">
        <f t="shared" si="3"/>
        <v>-1.5726336855394609</v>
      </c>
      <c r="AE31" s="11">
        <f t="shared" si="3"/>
        <v>-1.5858434015398279</v>
      </c>
      <c r="AF31" s="11">
        <f t="shared" si="3"/>
        <v>-1.5990531175402025</v>
      </c>
      <c r="AG31" s="11">
        <f t="shared" si="3"/>
        <v>-1.6122628335405793</v>
      </c>
      <c r="AH31" s="11">
        <f t="shared" si="3"/>
        <v>-1.625472549540955</v>
      </c>
      <c r="AI31" s="11">
        <f t="shared" si="3"/>
        <v>-1.6386822655413218</v>
      </c>
      <c r="AJ31" s="11">
        <f t="shared" si="3"/>
        <v>-1.6518919815416964</v>
      </c>
      <c r="AK31" s="11">
        <f t="shared" si="3"/>
        <v>-1.6651016975420732</v>
      </c>
      <c r="AL31" s="11">
        <f t="shared" si="3"/>
        <v>-1.6783114135424391</v>
      </c>
      <c r="AM31" s="11">
        <f t="shared" si="3"/>
        <v>-1.6915211295428136</v>
      </c>
      <c r="AN31" s="11">
        <f t="shared" si="3"/>
        <v>-1.7047308455431902</v>
      </c>
      <c r="AO31" s="11">
        <f t="shared" si="3"/>
        <v>-1.7179405615435668</v>
      </c>
      <c r="AP31" s="11">
        <f t="shared" si="3"/>
        <v>-1.7311502775439318</v>
      </c>
      <c r="AQ31" s="11">
        <f t="shared" si="3"/>
        <v>-1.7443599935443075</v>
      </c>
      <c r="AR31" s="11">
        <f t="shared" si="3"/>
        <v>-1.7575697095446743</v>
      </c>
      <c r="AS31" s="11">
        <f t="shared" si="3"/>
        <v>-1.7707794255450511</v>
      </c>
      <c r="AT31" s="11">
        <f t="shared" si="3"/>
        <v>-1.7839891415454256</v>
      </c>
      <c r="AU31" s="11">
        <f t="shared" si="3"/>
        <v>-1.7971988575458013</v>
      </c>
      <c r="AV31" s="11">
        <f t="shared" si="3"/>
        <v>-1.8104085735461681</v>
      </c>
      <c r="AW31" s="11">
        <f t="shared" si="3"/>
        <v>-1.8236182895465429</v>
      </c>
      <c r="AX31" s="11">
        <f t="shared" si="3"/>
        <v>-1.8368280055469195</v>
      </c>
      <c r="AY31" s="11">
        <f t="shared" si="3"/>
        <v>-1.8500377215472854</v>
      </c>
      <c r="AZ31" s="11">
        <f t="shared" si="3"/>
        <v>-1.8632474375476598</v>
      </c>
    </row>
    <row r="32" spans="1:52" ht="13">
      <c r="A32" s="9" t="s">
        <v>20</v>
      </c>
      <c r="B32" s="11">
        <f t="shared" si="1"/>
        <v>-2.3247362143240404</v>
      </c>
      <c r="C32" s="11">
        <f t="shared" si="1"/>
        <v>-2.3457882073282703</v>
      </c>
      <c r="D32" s="11">
        <f t="shared" si="1"/>
        <v>-2.3668402003325006</v>
      </c>
      <c r="E32" s="11">
        <f t="shared" si="1"/>
        <v>-2.3878921933367088</v>
      </c>
      <c r="F32" s="11">
        <f t="shared" si="1"/>
        <v>-2.4089441863409395</v>
      </c>
      <c r="G32" s="11">
        <f t="shared" si="1"/>
        <v>-2.4299961793451699</v>
      </c>
      <c r="H32" s="11">
        <f t="shared" si="1"/>
        <v>-2.4510481723493811</v>
      </c>
      <c r="I32" s="11">
        <f t="shared" si="1"/>
        <v>-2.4721001653536088</v>
      </c>
      <c r="J32" s="11">
        <f t="shared" si="1"/>
        <v>-2.4931521583578395</v>
      </c>
      <c r="K32" s="11">
        <f t="shared" si="1"/>
        <v>-2.5142041513620699</v>
      </c>
      <c r="L32" s="11">
        <f t="shared" si="1"/>
        <v>-2.5352561443662789</v>
      </c>
      <c r="M32" s="11">
        <f t="shared" si="1"/>
        <v>-2.5563081373705083</v>
      </c>
      <c r="N32" s="11">
        <f t="shared" si="1"/>
        <v>-2.5773601303747391</v>
      </c>
      <c r="O32" s="11">
        <f t="shared" si="1"/>
        <v>-2.5984121233789481</v>
      </c>
      <c r="P32" s="11">
        <f t="shared" si="1"/>
        <v>-2.619464116383178</v>
      </c>
      <c r="Q32" s="11">
        <f t="shared" si="1"/>
        <v>-2.6405161093874088</v>
      </c>
      <c r="R32" s="11">
        <f t="shared" ref="R32:AZ32" si="4">R$19+R$20*$B11</f>
        <v>-2.6615681023916191</v>
      </c>
      <c r="S32" s="11">
        <f t="shared" si="4"/>
        <v>-2.6826200953958477</v>
      </c>
      <c r="T32" s="11">
        <f t="shared" si="4"/>
        <v>-2.703672088400078</v>
      </c>
      <c r="U32" s="11">
        <f t="shared" si="4"/>
        <v>-2.7247240814042892</v>
      </c>
      <c r="V32" s="11">
        <f t="shared" si="4"/>
        <v>-2.7457760744085169</v>
      </c>
      <c r="W32" s="11">
        <f t="shared" si="4"/>
        <v>-2.7668280674127472</v>
      </c>
      <c r="X32" s="11">
        <f t="shared" si="4"/>
        <v>-2.7878800604169585</v>
      </c>
      <c r="Y32" s="11">
        <f t="shared" si="4"/>
        <v>-2.808932053421187</v>
      </c>
      <c r="Z32" s="11">
        <f t="shared" si="4"/>
        <v>-2.8299840464254165</v>
      </c>
      <c r="AA32" s="11">
        <f t="shared" si="4"/>
        <v>-2.8510360394296472</v>
      </c>
      <c r="AB32" s="11">
        <f t="shared" si="4"/>
        <v>-2.8720880324338576</v>
      </c>
      <c r="AC32" s="11">
        <f t="shared" si="4"/>
        <v>-2.8931400254380861</v>
      </c>
      <c r="AD32" s="11">
        <f t="shared" si="4"/>
        <v>-2.914192018442316</v>
      </c>
      <c r="AE32" s="11">
        <f t="shared" si="4"/>
        <v>-2.9352440114465272</v>
      </c>
      <c r="AF32" s="11">
        <f t="shared" si="4"/>
        <v>-2.9562960044507558</v>
      </c>
      <c r="AG32" s="11">
        <f t="shared" si="4"/>
        <v>-2.9773479974549861</v>
      </c>
      <c r="AH32" s="11">
        <f t="shared" si="4"/>
        <v>-2.9983999904592156</v>
      </c>
      <c r="AI32" s="11">
        <f t="shared" si="4"/>
        <v>-3.0194519834634268</v>
      </c>
      <c r="AJ32" s="11">
        <f t="shared" si="4"/>
        <v>-3.0405039764676554</v>
      </c>
      <c r="AK32" s="11">
        <f t="shared" si="4"/>
        <v>-3.0615559694718861</v>
      </c>
      <c r="AL32" s="11">
        <f t="shared" si="4"/>
        <v>-3.082607962476096</v>
      </c>
      <c r="AM32" s="11">
        <f t="shared" si="4"/>
        <v>-3.1036599554803246</v>
      </c>
      <c r="AN32" s="11">
        <f t="shared" si="4"/>
        <v>-3.1247119484845549</v>
      </c>
      <c r="AO32" s="11">
        <f t="shared" si="4"/>
        <v>-3.1457639414887852</v>
      </c>
      <c r="AP32" s="11">
        <f t="shared" si="4"/>
        <v>-3.1668159344929947</v>
      </c>
      <c r="AQ32" s="11">
        <f t="shared" si="4"/>
        <v>-3.1878679274972237</v>
      </c>
      <c r="AR32" s="11">
        <f t="shared" si="4"/>
        <v>-3.2089199205014354</v>
      </c>
      <c r="AS32" s="11">
        <f t="shared" si="4"/>
        <v>-3.2299719135056653</v>
      </c>
      <c r="AT32" s="11">
        <f t="shared" si="4"/>
        <v>-3.2510239065098943</v>
      </c>
      <c r="AU32" s="11">
        <f t="shared" si="4"/>
        <v>-3.2720758995141237</v>
      </c>
      <c r="AV32" s="11">
        <f t="shared" si="4"/>
        <v>-3.2931278925183349</v>
      </c>
      <c r="AW32" s="11">
        <f t="shared" si="4"/>
        <v>-3.3141798855225635</v>
      </c>
      <c r="AX32" s="11">
        <f t="shared" si="4"/>
        <v>-3.3352318785267943</v>
      </c>
      <c r="AY32" s="11">
        <f t="shared" si="4"/>
        <v>-3.3562838715310042</v>
      </c>
      <c r="AZ32" s="11">
        <f t="shared" si="4"/>
        <v>-3.3773358645352323</v>
      </c>
    </row>
    <row r="33" spans="1:52" ht="13">
      <c r="A33" s="9" t="s">
        <v>21</v>
      </c>
      <c r="B33" s="11">
        <f t="shared" si="1"/>
        <v>-3.890985776778153</v>
      </c>
      <c r="C33" s="11">
        <f t="shared" si="1"/>
        <v>-3.922985400129781</v>
      </c>
      <c r="D33" s="11">
        <f t="shared" si="1"/>
        <v>-3.954985023481409</v>
      </c>
      <c r="E33" s="11">
        <f t="shared" si="1"/>
        <v>-3.9869846468330015</v>
      </c>
      <c r="F33" s="11">
        <f t="shared" si="1"/>
        <v>-4.0189842701846299</v>
      </c>
      <c r="G33" s="11">
        <f t="shared" si="1"/>
        <v>-4.0509838935362588</v>
      </c>
      <c r="H33" s="11">
        <f t="shared" si="1"/>
        <v>-4.0829835168878539</v>
      </c>
      <c r="I33" s="11">
        <f t="shared" si="1"/>
        <v>-4.1149831402394792</v>
      </c>
      <c r="J33" s="11">
        <f t="shared" si="1"/>
        <v>-4.1469827635911081</v>
      </c>
      <c r="K33" s="11">
        <f t="shared" si="1"/>
        <v>-4.178982386942736</v>
      </c>
      <c r="L33" s="11">
        <f t="shared" si="1"/>
        <v>-4.2109820102943294</v>
      </c>
      <c r="M33" s="11">
        <f t="shared" si="1"/>
        <v>-4.2429816336459565</v>
      </c>
      <c r="N33" s="11">
        <f t="shared" si="1"/>
        <v>-4.2749812569975862</v>
      </c>
      <c r="O33" s="11">
        <f t="shared" si="1"/>
        <v>-4.3069808803491796</v>
      </c>
      <c r="P33" s="11">
        <f t="shared" si="1"/>
        <v>-4.3389805037008067</v>
      </c>
      <c r="Q33" s="11">
        <f t="shared" si="1"/>
        <v>-4.3709801270524355</v>
      </c>
      <c r="R33" s="11">
        <f t="shared" ref="R33:AZ33" si="5">R$19+R$20*$B12</f>
        <v>-4.4029797504040298</v>
      </c>
      <c r="S33" s="11">
        <f t="shared" si="5"/>
        <v>-4.434979373755656</v>
      </c>
      <c r="T33" s="11">
        <f t="shared" si="5"/>
        <v>-4.4669789971072849</v>
      </c>
      <c r="U33" s="11">
        <f t="shared" si="5"/>
        <v>-4.4989786204588809</v>
      </c>
      <c r="V33" s="11">
        <f t="shared" si="5"/>
        <v>-4.5309782438105053</v>
      </c>
      <c r="W33" s="11">
        <f t="shared" si="5"/>
        <v>-4.5629778671621342</v>
      </c>
      <c r="X33" s="11">
        <f t="shared" si="5"/>
        <v>-4.5949774905137293</v>
      </c>
      <c r="Y33" s="11">
        <f t="shared" si="5"/>
        <v>-4.6269771138653555</v>
      </c>
      <c r="Z33" s="11">
        <f t="shared" si="5"/>
        <v>-4.6589767372169835</v>
      </c>
      <c r="AA33" s="11">
        <f t="shared" si="5"/>
        <v>-4.6909763605686123</v>
      </c>
      <c r="AB33" s="11">
        <f t="shared" si="5"/>
        <v>-4.7229759839202066</v>
      </c>
      <c r="AC33" s="11">
        <f t="shared" si="5"/>
        <v>-4.7549756072718328</v>
      </c>
      <c r="AD33" s="11">
        <f t="shared" si="5"/>
        <v>-4.7869752306234599</v>
      </c>
      <c r="AE33" s="11">
        <f t="shared" si="5"/>
        <v>-4.8189748539750559</v>
      </c>
      <c r="AF33" s="11">
        <f t="shared" si="5"/>
        <v>-4.850974477326683</v>
      </c>
      <c r="AG33" s="11">
        <f t="shared" si="5"/>
        <v>-4.8829741006783109</v>
      </c>
      <c r="AH33" s="11">
        <f t="shared" si="5"/>
        <v>-4.914973724029938</v>
      </c>
      <c r="AI33" s="11">
        <f t="shared" si="5"/>
        <v>-4.946973347381534</v>
      </c>
      <c r="AJ33" s="11">
        <f t="shared" si="5"/>
        <v>-4.9789729707331603</v>
      </c>
      <c r="AK33" s="11">
        <f t="shared" si="5"/>
        <v>-5.0109725940847882</v>
      </c>
      <c r="AL33" s="11">
        <f t="shared" si="5"/>
        <v>-5.0429722174363834</v>
      </c>
      <c r="AM33" s="11">
        <f t="shared" si="5"/>
        <v>-5.0749718407880104</v>
      </c>
      <c r="AN33" s="11">
        <f t="shared" si="5"/>
        <v>-5.1069714641396375</v>
      </c>
      <c r="AO33" s="11">
        <f t="shared" si="5"/>
        <v>-5.1389710874912655</v>
      </c>
      <c r="AP33" s="11">
        <f t="shared" si="5"/>
        <v>-5.1709707108428589</v>
      </c>
      <c r="AQ33" s="11">
        <f t="shared" si="5"/>
        <v>-5.2029703341944877</v>
      </c>
      <c r="AR33" s="11">
        <f t="shared" si="5"/>
        <v>-5.2349699575460829</v>
      </c>
      <c r="AS33" s="11">
        <f t="shared" si="5"/>
        <v>-5.2669695808977108</v>
      </c>
      <c r="AT33" s="11">
        <f t="shared" si="5"/>
        <v>-5.298969204249337</v>
      </c>
      <c r="AU33" s="11">
        <f t="shared" si="5"/>
        <v>-5.3309688276009641</v>
      </c>
      <c r="AV33" s="11">
        <f t="shared" si="5"/>
        <v>-5.3629684509525601</v>
      </c>
      <c r="AW33" s="11">
        <f t="shared" si="5"/>
        <v>-5.3949680743041863</v>
      </c>
      <c r="AX33" s="11">
        <f t="shared" si="5"/>
        <v>-5.4269676976558152</v>
      </c>
      <c r="AY33" s="11">
        <f t="shared" si="5"/>
        <v>-5.4589673210074103</v>
      </c>
      <c r="AZ33" s="11">
        <f t="shared" si="5"/>
        <v>-5.4909669443590357</v>
      </c>
    </row>
    <row r="34" spans="1:52" ht="13">
      <c r="A34" s="9" t="s">
        <v>22</v>
      </c>
      <c r="B34" s="11">
        <f t="shared" si="1"/>
        <v>-6.1948009772671728</v>
      </c>
      <c r="C34" s="11">
        <f t="shared" si="1"/>
        <v>-6.242903600937697</v>
      </c>
      <c r="D34" s="11">
        <f t="shared" si="1"/>
        <v>-6.2910062246082212</v>
      </c>
      <c r="E34" s="11">
        <f t="shared" si="1"/>
        <v>-6.3391088482786895</v>
      </c>
      <c r="F34" s="11">
        <f t="shared" si="1"/>
        <v>-6.3872114719492155</v>
      </c>
      <c r="G34" s="11">
        <f t="shared" si="1"/>
        <v>-6.4353140956197405</v>
      </c>
      <c r="H34" s="11">
        <f t="shared" si="1"/>
        <v>-6.4834167192902123</v>
      </c>
      <c r="I34" s="11">
        <f t="shared" si="1"/>
        <v>-6.5315193429607339</v>
      </c>
      <c r="J34" s="11">
        <f t="shared" si="1"/>
        <v>-6.5796219666312599</v>
      </c>
      <c r="K34" s="11">
        <f t="shared" si="1"/>
        <v>-6.6277245903017841</v>
      </c>
      <c r="L34" s="11">
        <f t="shared" si="1"/>
        <v>-6.6758272139722541</v>
      </c>
      <c r="M34" s="11">
        <f t="shared" si="1"/>
        <v>-6.7239298376427783</v>
      </c>
      <c r="N34" s="11">
        <f t="shared" si="1"/>
        <v>-6.7720324613133034</v>
      </c>
      <c r="O34" s="11">
        <f t="shared" si="1"/>
        <v>-6.8201350849837734</v>
      </c>
      <c r="P34" s="11">
        <f t="shared" si="1"/>
        <v>-6.8682377086542976</v>
      </c>
      <c r="Q34" s="11">
        <f t="shared" si="1"/>
        <v>-6.9163403323248227</v>
      </c>
      <c r="R34" s="11">
        <f t="shared" ref="R34:AZ34" si="6">R$19+R$20*$B13</f>
        <v>-6.9644429559952936</v>
      </c>
      <c r="S34" s="11">
        <f t="shared" si="6"/>
        <v>-7.0125455796658169</v>
      </c>
      <c r="T34" s="11">
        <f t="shared" si="6"/>
        <v>-7.0606482033363411</v>
      </c>
      <c r="U34" s="11">
        <f t="shared" si="6"/>
        <v>-7.1087508270068138</v>
      </c>
      <c r="V34" s="11">
        <f t="shared" si="6"/>
        <v>-7.1568534506773354</v>
      </c>
      <c r="W34" s="11">
        <f t="shared" si="6"/>
        <v>-7.2049560743478613</v>
      </c>
      <c r="X34" s="11">
        <f t="shared" si="6"/>
        <v>-7.2530586980183331</v>
      </c>
      <c r="Y34" s="11">
        <f t="shared" si="6"/>
        <v>-7.3011613216888556</v>
      </c>
      <c r="Z34" s="11">
        <f t="shared" si="6"/>
        <v>-7.3492639453593807</v>
      </c>
      <c r="AA34" s="11">
        <f t="shared" si="6"/>
        <v>-7.3973665690299049</v>
      </c>
      <c r="AB34" s="11">
        <f t="shared" si="6"/>
        <v>-7.4454691927003758</v>
      </c>
      <c r="AC34" s="11">
        <f t="shared" si="6"/>
        <v>-7.4935718163708982</v>
      </c>
      <c r="AD34" s="11">
        <f t="shared" si="6"/>
        <v>-7.5416744400414224</v>
      </c>
      <c r="AE34" s="11">
        <f t="shared" si="6"/>
        <v>-7.5897770637118951</v>
      </c>
      <c r="AF34" s="11">
        <f t="shared" si="6"/>
        <v>-7.6378796873824184</v>
      </c>
      <c r="AG34" s="11">
        <f t="shared" si="6"/>
        <v>-7.6859823110529426</v>
      </c>
      <c r="AH34" s="11">
        <f t="shared" si="6"/>
        <v>-7.7340849347234668</v>
      </c>
      <c r="AI34" s="11">
        <f t="shared" si="6"/>
        <v>-7.7821875583939395</v>
      </c>
      <c r="AJ34" s="11">
        <f t="shared" si="6"/>
        <v>-7.8302901820644619</v>
      </c>
      <c r="AK34" s="11">
        <f t="shared" si="6"/>
        <v>-7.878392805734987</v>
      </c>
      <c r="AL34" s="11">
        <f t="shared" si="6"/>
        <v>-7.9264954294054579</v>
      </c>
      <c r="AM34" s="11">
        <f t="shared" si="6"/>
        <v>-7.9745980530759812</v>
      </c>
      <c r="AN34" s="11">
        <f t="shared" si="6"/>
        <v>-8.0227006767465046</v>
      </c>
      <c r="AO34" s="11">
        <f t="shared" si="6"/>
        <v>-8.0708033004170296</v>
      </c>
      <c r="AP34" s="11">
        <f t="shared" si="6"/>
        <v>-8.1189059240874997</v>
      </c>
      <c r="AQ34" s="11">
        <f t="shared" si="6"/>
        <v>-8.1670085477580248</v>
      </c>
      <c r="AR34" s="11">
        <f t="shared" si="6"/>
        <v>-8.2151111714284966</v>
      </c>
      <c r="AS34" s="11">
        <f t="shared" si="6"/>
        <v>-8.2632137950990217</v>
      </c>
      <c r="AT34" s="11">
        <f t="shared" si="6"/>
        <v>-8.311316418769545</v>
      </c>
      <c r="AU34" s="11">
        <f t="shared" si="6"/>
        <v>-8.3594190424400683</v>
      </c>
      <c r="AV34" s="11">
        <f t="shared" si="6"/>
        <v>-8.4075216661105401</v>
      </c>
      <c r="AW34" s="11">
        <f t="shared" si="6"/>
        <v>-8.4556242897810634</v>
      </c>
      <c r="AX34" s="11">
        <f t="shared" si="6"/>
        <v>-8.5037269134515885</v>
      </c>
      <c r="AY34" s="11">
        <f t="shared" si="6"/>
        <v>-8.5518295371220603</v>
      </c>
      <c r="AZ34" s="11">
        <f t="shared" si="6"/>
        <v>-8.5999321607925818</v>
      </c>
    </row>
    <row r="36" spans="1:52" s="6" customFormat="1">
      <c r="A36" s="5" t="s">
        <v>10</v>
      </c>
    </row>
    <row r="37" spans="1:52">
      <c r="A37" s="1" t="s">
        <v>13</v>
      </c>
    </row>
    <row r="39" spans="1:52" ht="13">
      <c r="A39" s="9" t="s">
        <v>23</v>
      </c>
      <c r="B39" s="10">
        <v>2020</v>
      </c>
      <c r="C39" s="10">
        <v>2021</v>
      </c>
      <c r="D39" s="10">
        <v>2022</v>
      </c>
      <c r="E39" s="10">
        <v>2023</v>
      </c>
      <c r="F39" s="10">
        <v>2024</v>
      </c>
      <c r="G39" s="10">
        <v>2025</v>
      </c>
      <c r="H39" s="10">
        <v>2026</v>
      </c>
      <c r="I39" s="10">
        <v>2027</v>
      </c>
      <c r="J39" s="10">
        <v>2028</v>
      </c>
      <c r="K39" s="10">
        <v>2029</v>
      </c>
      <c r="L39" s="10">
        <v>2030</v>
      </c>
      <c r="M39" s="10">
        <v>2031</v>
      </c>
      <c r="N39" s="10">
        <v>2032</v>
      </c>
      <c r="O39" s="10">
        <v>2033</v>
      </c>
      <c r="P39" s="10">
        <v>2034</v>
      </c>
      <c r="Q39" s="10">
        <v>2035</v>
      </c>
      <c r="R39" s="10">
        <v>2036</v>
      </c>
      <c r="S39" s="10">
        <v>2037</v>
      </c>
      <c r="T39" s="10">
        <v>2038</v>
      </c>
      <c r="U39" s="10">
        <v>2039</v>
      </c>
      <c r="V39" s="10">
        <v>2040</v>
      </c>
      <c r="W39" s="10">
        <v>2041</v>
      </c>
      <c r="X39" s="10">
        <v>2042</v>
      </c>
      <c r="Y39" s="10">
        <v>2043</v>
      </c>
      <c r="Z39" s="10">
        <v>2044</v>
      </c>
      <c r="AA39" s="10">
        <v>2045</v>
      </c>
      <c r="AB39" s="10">
        <v>2046</v>
      </c>
      <c r="AC39" s="10">
        <v>2047</v>
      </c>
      <c r="AD39" s="10">
        <v>2048</v>
      </c>
      <c r="AE39" s="10">
        <v>2049</v>
      </c>
      <c r="AF39" s="10">
        <v>2050</v>
      </c>
      <c r="AG39" s="10">
        <v>2051</v>
      </c>
      <c r="AH39" s="10">
        <v>2052</v>
      </c>
      <c r="AI39" s="10">
        <v>2053</v>
      </c>
      <c r="AJ39" s="10">
        <v>2054</v>
      </c>
      <c r="AK39" s="10">
        <v>2055</v>
      </c>
      <c r="AL39" s="10">
        <v>2056</v>
      </c>
      <c r="AM39" s="10">
        <v>2057</v>
      </c>
      <c r="AN39" s="10">
        <v>2058</v>
      </c>
      <c r="AO39" s="10">
        <v>2059</v>
      </c>
      <c r="AP39" s="10">
        <v>2060</v>
      </c>
      <c r="AQ39" s="10">
        <v>2061</v>
      </c>
      <c r="AR39" s="10">
        <v>2062</v>
      </c>
      <c r="AS39" s="10">
        <v>2063</v>
      </c>
      <c r="AT39" s="10">
        <v>2064</v>
      </c>
      <c r="AU39" s="10">
        <v>2065</v>
      </c>
      <c r="AV39" s="10">
        <v>2066</v>
      </c>
      <c r="AW39" s="10">
        <v>2067</v>
      </c>
      <c r="AX39" s="10">
        <v>2068</v>
      </c>
      <c r="AY39" s="10">
        <v>2069</v>
      </c>
      <c r="AZ39" s="10">
        <v>2070</v>
      </c>
    </row>
    <row r="40" spans="1:52" ht="13">
      <c r="A40" s="9" t="s">
        <v>16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52" ht="13">
      <c r="A41" s="9" t="s">
        <v>17</v>
      </c>
      <c r="B41" s="11">
        <f>EXP(-EXP(B29))</f>
        <v>0.14763284990893449</v>
      </c>
      <c r="C41" s="11">
        <f t="shared" ref="C41:AZ41" si="7">EXP(-EXP(C29))</f>
        <v>0.14770872685949066</v>
      </c>
      <c r="D41" s="11">
        <f t="shared" si="7"/>
        <v>0.14778462241183607</v>
      </c>
      <c r="E41" s="11">
        <f t="shared" si="7"/>
        <v>0.14786053656005635</v>
      </c>
      <c r="F41" s="11">
        <f t="shared" si="7"/>
        <v>0.14793646929823073</v>
      </c>
      <c r="G41" s="11">
        <f t="shared" si="7"/>
        <v>0.1480124206204376</v>
      </c>
      <c r="H41" s="11">
        <f t="shared" si="7"/>
        <v>0.14808839052075232</v>
      </c>
      <c r="I41" s="11">
        <f t="shared" si="7"/>
        <v>0.14816437899324031</v>
      </c>
      <c r="J41" s="11">
        <f t="shared" si="7"/>
        <v>0.14824038603197096</v>
      </c>
      <c r="K41" s="11">
        <f t="shared" si="7"/>
        <v>0.14831641163100595</v>
      </c>
      <c r="L41" s="11">
        <f t="shared" si="7"/>
        <v>0.14839245578440505</v>
      </c>
      <c r="M41" s="11">
        <f t="shared" si="7"/>
        <v>0.14846851848622025</v>
      </c>
      <c r="N41" s="11">
        <f t="shared" si="7"/>
        <v>0.14854459973050443</v>
      </c>
      <c r="O41" s="11">
        <f t="shared" si="7"/>
        <v>0.14862069951130596</v>
      </c>
      <c r="P41" s="11">
        <f t="shared" si="7"/>
        <v>0.14869681782266597</v>
      </c>
      <c r="Q41" s="11">
        <f t="shared" si="7"/>
        <v>0.14877295465862544</v>
      </c>
      <c r="R41" s="11">
        <f t="shared" si="7"/>
        <v>0.1488491100132221</v>
      </c>
      <c r="S41" s="11">
        <f t="shared" si="7"/>
        <v>0.1489252838804847</v>
      </c>
      <c r="T41" s="11">
        <f t="shared" si="7"/>
        <v>0.14900147625444457</v>
      </c>
      <c r="U41" s="11">
        <f t="shared" si="7"/>
        <v>0.14907768712912792</v>
      </c>
      <c r="V41" s="11">
        <f t="shared" si="7"/>
        <v>0.1491539164985515</v>
      </c>
      <c r="W41" s="11">
        <f t="shared" si="7"/>
        <v>0.14923016435673633</v>
      </c>
      <c r="X41" s="11">
        <f t="shared" si="7"/>
        <v>0.14930643069769711</v>
      </c>
      <c r="Y41" s="11">
        <f t="shared" si="7"/>
        <v>0.14938271551543972</v>
      </c>
      <c r="Z41" s="11">
        <f t="shared" si="7"/>
        <v>0.14945901880397319</v>
      </c>
      <c r="AA41" s="11">
        <f t="shared" si="7"/>
        <v>0.14953534055730019</v>
      </c>
      <c r="AB41" s="11">
        <f t="shared" si="7"/>
        <v>0.14961168076942122</v>
      </c>
      <c r="AC41" s="11">
        <f t="shared" si="7"/>
        <v>0.14968803943432732</v>
      </c>
      <c r="AD41" s="11">
        <f t="shared" si="7"/>
        <v>0.14976441654601264</v>
      </c>
      <c r="AE41" s="11">
        <f t="shared" si="7"/>
        <v>0.14984081209846692</v>
      </c>
      <c r="AF41" s="11">
        <f t="shared" si="7"/>
        <v>0.14991722608566971</v>
      </c>
      <c r="AG41" s="11">
        <f t="shared" si="7"/>
        <v>0.14999365850160454</v>
      </c>
      <c r="AH41" s="11">
        <f t="shared" si="7"/>
        <v>0.15007010934024731</v>
      </c>
      <c r="AI41" s="11">
        <f t="shared" si="7"/>
        <v>0.15014657859557354</v>
      </c>
      <c r="AJ41" s="11">
        <f t="shared" si="7"/>
        <v>0.15022306626154805</v>
      </c>
      <c r="AK41" s="11">
        <f t="shared" si="7"/>
        <v>0.15029957233213959</v>
      </c>
      <c r="AL41" s="11">
        <f t="shared" si="7"/>
        <v>0.15037609680131112</v>
      </c>
      <c r="AM41" s="11">
        <f t="shared" si="7"/>
        <v>0.15045263966301745</v>
      </c>
      <c r="AN41" s="11">
        <f t="shared" si="7"/>
        <v>0.15052920091121597</v>
      </c>
      <c r="AO41" s="11">
        <f t="shared" si="7"/>
        <v>0.15060578053985713</v>
      </c>
      <c r="AP41" s="11">
        <f t="shared" si="7"/>
        <v>0.15068237854288952</v>
      </c>
      <c r="AQ41" s="11">
        <f t="shared" si="7"/>
        <v>0.15075899491425404</v>
      </c>
      <c r="AR41" s="11">
        <f t="shared" si="7"/>
        <v>0.15083562964789443</v>
      </c>
      <c r="AS41" s="11">
        <f t="shared" si="7"/>
        <v>0.15091228273774321</v>
      </c>
      <c r="AT41" s="11">
        <f t="shared" si="7"/>
        <v>0.15098895417773431</v>
      </c>
      <c r="AU41" s="11">
        <f t="shared" si="7"/>
        <v>0.1510656439617977</v>
      </c>
      <c r="AV41" s="11">
        <f t="shared" si="7"/>
        <v>0.15114235208386068</v>
      </c>
      <c r="AW41" s="11">
        <f t="shared" si="7"/>
        <v>0.15121907853784047</v>
      </c>
      <c r="AX41" s="11">
        <f t="shared" si="7"/>
        <v>0.15129582331765828</v>
      </c>
      <c r="AY41" s="11">
        <f t="shared" si="7"/>
        <v>0.15137258641722953</v>
      </c>
      <c r="AZ41" s="11">
        <f t="shared" si="7"/>
        <v>0.15144936783046153</v>
      </c>
    </row>
    <row r="42" spans="1:52" ht="13">
      <c r="A42" s="9" t="s">
        <v>18</v>
      </c>
      <c r="B42" s="11">
        <f t="shared" ref="B42:AZ42" si="8">EXP(-EXP(B30))</f>
        <v>0.46897193807480386</v>
      </c>
      <c r="C42" s="11">
        <f t="shared" si="8"/>
        <v>0.47136578581760485</v>
      </c>
      <c r="D42" s="11">
        <f t="shared" si="8"/>
        <v>0.47375563358549438</v>
      </c>
      <c r="E42" s="11">
        <f t="shared" si="8"/>
        <v>0.47614140665907051</v>
      </c>
      <c r="F42" s="11">
        <f t="shared" si="8"/>
        <v>0.47852303127053369</v>
      </c>
      <c r="G42" s="11">
        <f t="shared" si="8"/>
        <v>0.48090043460303711</v>
      </c>
      <c r="H42" s="11">
        <f t="shared" si="8"/>
        <v>0.48327354478987572</v>
      </c>
      <c r="I42" s="11">
        <f t="shared" si="8"/>
        <v>0.48564229091349553</v>
      </c>
      <c r="J42" s="11">
        <f t="shared" si="8"/>
        <v>0.48800660300433268</v>
      </c>
      <c r="K42" s="11">
        <f t="shared" si="8"/>
        <v>0.49036641203948167</v>
      </c>
      <c r="L42" s="11">
        <f t="shared" si="8"/>
        <v>0.4927216499412051</v>
      </c>
      <c r="M42" s="11">
        <f t="shared" si="8"/>
        <v>0.4950722495752844</v>
      </c>
      <c r="N42" s="11">
        <f t="shared" si="8"/>
        <v>0.49741814474920348</v>
      </c>
      <c r="O42" s="11">
        <f t="shared" si="8"/>
        <v>0.49975927021018596</v>
      </c>
      <c r="P42" s="11">
        <f t="shared" si="8"/>
        <v>0.50209556164308544</v>
      </c>
      <c r="Q42" s="11">
        <f t="shared" si="8"/>
        <v>0.50442695566811446</v>
      </c>
      <c r="R42" s="11">
        <f t="shared" si="8"/>
        <v>0.50675338983844131</v>
      </c>
      <c r="S42" s="11">
        <f t="shared" si="8"/>
        <v>0.50907480263764326</v>
      </c>
      <c r="T42" s="11">
        <f t="shared" si="8"/>
        <v>0.51139113347701726</v>
      </c>
      <c r="U42" s="11">
        <f t="shared" si="8"/>
        <v>0.51370232269275717</v>
      </c>
      <c r="V42" s="11">
        <f t="shared" si="8"/>
        <v>0.51600831154300331</v>
      </c>
      <c r="W42" s="11">
        <f t="shared" si="8"/>
        <v>0.51830904220476048</v>
      </c>
      <c r="X42" s="11">
        <f t="shared" si="8"/>
        <v>0.5206044577706852</v>
      </c>
      <c r="Y42" s="11">
        <f t="shared" si="8"/>
        <v>0.52289450224576062</v>
      </c>
      <c r="Z42" s="11">
        <f t="shared" si="8"/>
        <v>0.52517912054384419</v>
      </c>
      <c r="AA42" s="11">
        <f t="shared" si="8"/>
        <v>0.52745825848410022</v>
      </c>
      <c r="AB42" s="11">
        <f t="shared" si="8"/>
        <v>0.5297318627873191</v>
      </c>
      <c r="AC42" s="11">
        <f t="shared" si="8"/>
        <v>0.53199988107212826</v>
      </c>
      <c r="AD42" s="11">
        <f t="shared" si="8"/>
        <v>0.53426226185109216</v>
      </c>
      <c r="AE42" s="11">
        <f t="shared" si="8"/>
        <v>0.53651895452670662</v>
      </c>
      <c r="AF42" s="11">
        <f t="shared" si="8"/>
        <v>0.5387699093872953</v>
      </c>
      <c r="AG42" s="11">
        <f t="shared" si="8"/>
        <v>0.54101507760280398</v>
      </c>
      <c r="AH42" s="11">
        <f t="shared" si="8"/>
        <v>0.54325441122049656</v>
      </c>
      <c r="AI42" s="11">
        <f t="shared" si="8"/>
        <v>0.54548786316056297</v>
      </c>
      <c r="AJ42" s="11">
        <f t="shared" si="8"/>
        <v>0.54771538721163116</v>
      </c>
      <c r="AK42" s="11">
        <f t="shared" si="8"/>
        <v>0.54993693802619437</v>
      </c>
      <c r="AL42" s="11">
        <f t="shared" si="8"/>
        <v>0.55215247111594723</v>
      </c>
      <c r="AM42" s="11">
        <f t="shared" si="8"/>
        <v>0.55436194284704854</v>
      </c>
      <c r="AN42" s="11">
        <f t="shared" si="8"/>
        <v>0.55656531043529478</v>
      </c>
      <c r="AO42" s="11">
        <f t="shared" si="8"/>
        <v>0.55876253194121905</v>
      </c>
      <c r="AP42" s="11">
        <f t="shared" si="8"/>
        <v>0.56095356626511605</v>
      </c>
      <c r="AQ42" s="11">
        <f t="shared" si="8"/>
        <v>0.56313837314199711</v>
      </c>
      <c r="AR42" s="11">
        <f t="shared" si="8"/>
        <v>0.56531691313646593</v>
      </c>
      <c r="AS42" s="11">
        <f t="shared" si="8"/>
        <v>0.56748914763753733</v>
      </c>
      <c r="AT42" s="11">
        <f t="shared" si="8"/>
        <v>0.56965503885338253</v>
      </c>
      <c r="AU42" s="11">
        <f t="shared" si="8"/>
        <v>0.5718145498060192</v>
      </c>
      <c r="AV42" s="11">
        <f t="shared" si="8"/>
        <v>0.57396764432593361</v>
      </c>
      <c r="AW42" s="11">
        <f t="shared" si="8"/>
        <v>0.57611428704665046</v>
      </c>
      <c r="AX42" s="11">
        <f t="shared" si="8"/>
        <v>0.57825444339924492</v>
      </c>
      <c r="AY42" s="11">
        <f t="shared" si="8"/>
        <v>0.58038807960679817</v>
      </c>
      <c r="AZ42" s="11">
        <f t="shared" si="8"/>
        <v>0.58251516267880921</v>
      </c>
    </row>
    <row r="43" spans="1:52" ht="13">
      <c r="A43" s="9" t="s">
        <v>19</v>
      </c>
      <c r="B43" s="11">
        <f t="shared" ref="B43:AZ43" si="9">EXP(-EXP(B31))</f>
        <v>0.74054893023369139</v>
      </c>
      <c r="C43" s="11">
        <f t="shared" si="9"/>
        <v>0.74347365764882256</v>
      </c>
      <c r="D43" s="11">
        <f t="shared" si="9"/>
        <v>0.74637132866257028</v>
      </c>
      <c r="E43" s="11">
        <f t="shared" si="9"/>
        <v>0.74924204605421607</v>
      </c>
      <c r="F43" s="11">
        <f t="shared" si="9"/>
        <v>0.75208591632178889</v>
      </c>
      <c r="G43" s="11">
        <f t="shared" si="9"/>
        <v>0.75490304955215115</v>
      </c>
      <c r="H43" s="11">
        <f t="shared" si="9"/>
        <v>0.75769355929330418</v>
      </c>
      <c r="I43" s="11">
        <f t="shared" si="9"/>
        <v>0.76045756242889073</v>
      </c>
      <c r="J43" s="11">
        <f t="shared" si="9"/>
        <v>0.76319517905488488</v>
      </c>
      <c r="K43" s="11">
        <f t="shared" si="9"/>
        <v>0.7659065323585017</v>
      </c>
      <c r="L43" s="11">
        <f t="shared" si="9"/>
        <v>0.76859174849930301</v>
      </c>
      <c r="M43" s="11">
        <f t="shared" si="9"/>
        <v>0.77125095649251607</v>
      </c>
      <c r="N43" s="11">
        <f t="shared" si="9"/>
        <v>0.77388428809452603</v>
      </c>
      <c r="O43" s="11">
        <f t="shared" si="9"/>
        <v>0.77649187769057992</v>
      </c>
      <c r="P43" s="11">
        <f t="shared" si="9"/>
        <v>0.779073862184675</v>
      </c>
      <c r="Q43" s="11">
        <f t="shared" si="9"/>
        <v>0.78163038089160142</v>
      </c>
      <c r="R43" s="11">
        <f t="shared" si="9"/>
        <v>0.78416157543117027</v>
      </c>
      <c r="S43" s="11">
        <f t="shared" si="9"/>
        <v>0.78666758962459316</v>
      </c>
      <c r="T43" s="11">
        <f t="shared" si="9"/>
        <v>0.78914856939298672</v>
      </c>
      <c r="U43" s="11">
        <f t="shared" si="9"/>
        <v>0.79160466265801721</v>
      </c>
      <c r="V43" s="11">
        <f t="shared" si="9"/>
        <v>0.79403601924466072</v>
      </c>
      <c r="W43" s="11">
        <f t="shared" si="9"/>
        <v>0.79644279078604197</v>
      </c>
      <c r="X43" s="11">
        <f t="shared" si="9"/>
        <v>0.79882513063036387</v>
      </c>
      <c r="Y43" s="11">
        <f t="shared" si="9"/>
        <v>0.80118319374990188</v>
      </c>
      <c r="Z43" s="11">
        <f t="shared" si="9"/>
        <v>0.8035171366520244</v>
      </c>
      <c r="AA43" s="11">
        <f t="shared" si="9"/>
        <v>0.80582711729224887</v>
      </c>
      <c r="AB43" s="11">
        <f t="shared" si="9"/>
        <v>0.8081132949892933</v>
      </c>
      <c r="AC43" s="11">
        <f t="shared" si="9"/>
        <v>0.8103758303421168</v>
      </c>
      <c r="AD43" s="11">
        <f t="shared" si="9"/>
        <v>0.81261488514890445</v>
      </c>
      <c r="AE43" s="11">
        <f t="shared" si="9"/>
        <v>0.81483062232800163</v>
      </c>
      <c r="AF43" s="11">
        <f t="shared" si="9"/>
        <v>0.81702320584076316</v>
      </c>
      <c r="AG43" s="11">
        <f t="shared" si="9"/>
        <v>0.81919280061628141</v>
      </c>
      <c r="AH43" s="11">
        <f t="shared" si="9"/>
        <v>0.82133957247799316</v>
      </c>
      <c r="AI43" s="11">
        <f t="shared" si="9"/>
        <v>0.82346368807212389</v>
      </c>
      <c r="AJ43" s="11">
        <f t="shared" si="9"/>
        <v>0.82556531479795736</v>
      </c>
      <c r="AK43" s="11">
        <f t="shared" si="9"/>
        <v>0.82764462073988543</v>
      </c>
      <c r="AL43" s="11">
        <f t="shared" si="9"/>
        <v>0.82970177460123751</v>
      </c>
      <c r="AM43" s="11">
        <f t="shared" si="9"/>
        <v>0.83173694563985601</v>
      </c>
      <c r="AN43" s="11">
        <f t="shared" si="9"/>
        <v>0.83375030360537439</v>
      </c>
      <c r="AO43" s="11">
        <f t="shared" si="9"/>
        <v>0.83574201867820097</v>
      </c>
      <c r="AP43" s="11">
        <f t="shared" si="9"/>
        <v>0.83771226141016075</v>
      </c>
      <c r="AQ43" s="11">
        <f t="shared" si="9"/>
        <v>0.83966120266678634</v>
      </c>
      <c r="AR43" s="11">
        <f t="shared" si="9"/>
        <v>0.84158901357120419</v>
      </c>
      <c r="AS43" s="11">
        <f t="shared" si="9"/>
        <v>0.84349586544963095</v>
      </c>
      <c r="AT43" s="11">
        <f t="shared" si="9"/>
        <v>0.84538192977840865</v>
      </c>
      <c r="AU43" s="11">
        <f t="shared" si="9"/>
        <v>0.84724737813259177</v>
      </c>
      <c r="AV43" s="11">
        <f t="shared" si="9"/>
        <v>0.84909238213603033</v>
      </c>
      <c r="AW43" s="11">
        <f t="shared" si="9"/>
        <v>0.85091711341294651</v>
      </c>
      <c r="AX43" s="11">
        <f t="shared" si="9"/>
        <v>0.85272174354095187</v>
      </c>
      <c r="AY43" s="11">
        <f t="shared" si="9"/>
        <v>0.85450644400550524</v>
      </c>
      <c r="AZ43" s="11">
        <f t="shared" si="9"/>
        <v>0.85627138615577514</v>
      </c>
    </row>
    <row r="44" spans="1:52" ht="13">
      <c r="A44" s="9" t="s">
        <v>20</v>
      </c>
      <c r="B44" s="11">
        <f t="shared" ref="B44:AZ44" si="10">EXP(-EXP(B32))</f>
        <v>0.90682187139399517</v>
      </c>
      <c r="C44" s="11">
        <f t="shared" si="10"/>
        <v>0.90867145622918721</v>
      </c>
      <c r="D44" s="11">
        <f t="shared" si="10"/>
        <v>0.91048616597291665</v>
      </c>
      <c r="E44" s="11">
        <f t="shared" si="10"/>
        <v>0.91226658343109879</v>
      </c>
      <c r="F44" s="11">
        <f t="shared" si="10"/>
        <v>0.91401328477839172</v>
      </c>
      <c r="G44" s="11">
        <f t="shared" si="10"/>
        <v>0.91572683949356237</v>
      </c>
      <c r="H44" s="11">
        <f t="shared" si="10"/>
        <v>0.91740781030316265</v>
      </c>
      <c r="I44" s="11">
        <f t="shared" si="10"/>
        <v>0.91905675313311885</v>
      </c>
      <c r="J44" s="11">
        <f t="shared" si="10"/>
        <v>0.92067421706785524</v>
      </c>
      <c r="K44" s="11">
        <f t="shared" si="10"/>
        <v>0.92226074431662308</v>
      </c>
      <c r="L44" s="11">
        <f t="shared" si="10"/>
        <v>0.9238168701866718</v>
      </c>
      <c r="M44" s="11">
        <f t="shared" si="10"/>
        <v>0.92534312306294353</v>
      </c>
      <c r="N44" s="11">
        <f t="shared" si="10"/>
        <v>0.92684002439394775</v>
      </c>
      <c r="O44" s="11">
        <f t="shared" si="10"/>
        <v>0.92830808868353576</v>
      </c>
      <c r="P44" s="11">
        <f t="shared" si="10"/>
        <v>0.92974782348825891</v>
      </c>
      <c r="Q44" s="11">
        <f t="shared" si="10"/>
        <v>0.93115972942001268</v>
      </c>
      <c r="R44" s="11">
        <f t="shared" si="10"/>
        <v>0.93254430015370993</v>
      </c>
      <c r="S44" s="11">
        <f t="shared" si="10"/>
        <v>0.9339020224397051</v>
      </c>
      <c r="T44" s="11">
        <f t="shared" si="10"/>
        <v>0.93523337612069668</v>
      </c>
      <c r="U44" s="11">
        <f t="shared" si="10"/>
        <v>0.93653883415288408</v>
      </c>
      <c r="V44" s="11">
        <f t="shared" si="10"/>
        <v>0.93781886263112491</v>
      </c>
      <c r="W44" s="11">
        <f t="shared" si="10"/>
        <v>0.93907392081785479</v>
      </c>
      <c r="X44" s="11">
        <f t="shared" si="10"/>
        <v>0.94030446117556554</v>
      </c>
      <c r="Y44" s="11">
        <f t="shared" si="10"/>
        <v>0.94151092940262004</v>
      </c>
      <c r="Z44" s="11">
        <f t="shared" si="10"/>
        <v>0.94269376447218833</v>
      </c>
      <c r="AA44" s="11">
        <f t="shared" si="10"/>
        <v>0.94385339867412976</v>
      </c>
      <c r="AB44" s="11">
        <f t="shared" si="10"/>
        <v>0.94499025765961264</v>
      </c>
      <c r="AC44" s="11">
        <f t="shared" si="10"/>
        <v>0.94610476048830661</v>
      </c>
      <c r="AD44" s="11">
        <f t="shared" si="10"/>
        <v>0.94719731967795429</v>
      </c>
      <c r="AE44" s="11">
        <f t="shared" si="10"/>
        <v>0.94826834125617609</v>
      </c>
      <c r="AF44" s="11">
        <f t="shared" si="10"/>
        <v>0.94931822481434036</v>
      </c>
      <c r="AG44" s="11">
        <f t="shared" si="10"/>
        <v>0.95034736356333627</v>
      </c>
      <c r="AH44" s="11">
        <f t="shared" si="10"/>
        <v>0.95135614439112126</v>
      </c>
      <c r="AI44" s="11">
        <f t="shared" si="10"/>
        <v>0.95234494792189062</v>
      </c>
      <c r="AJ44" s="11">
        <f t="shared" si="10"/>
        <v>0.95331414857674224</v>
      </c>
      <c r="AK44" s="11">
        <f t="shared" si="10"/>
        <v>0.95426411463569893</v>
      </c>
      <c r="AL44" s="11">
        <f t="shared" si="10"/>
        <v>0.95519520830097915</v>
      </c>
      <c r="AM44" s="11">
        <f t="shared" si="10"/>
        <v>0.9561077857613951</v>
      </c>
      <c r="AN44" s="11">
        <f t="shared" si="10"/>
        <v>0.95700219725775737</v>
      </c>
      <c r="AO44" s="11">
        <f t="shared" si="10"/>
        <v>0.95787878714919628</v>
      </c>
      <c r="AP44" s="11">
        <f t="shared" si="10"/>
        <v>0.95873789398028653</v>
      </c>
      <c r="AQ44" s="11">
        <f t="shared" si="10"/>
        <v>0.95957985054888872</v>
      </c>
      <c r="AR44" s="11">
        <f t="shared" si="10"/>
        <v>0.96040498397460139</v>
      </c>
      <c r="AS44" s="11">
        <f t="shared" si="10"/>
        <v>0.96121361576775854</v>
      </c>
      <c r="AT44" s="11">
        <f t="shared" si="10"/>
        <v>0.96200606189886551</v>
      </c>
      <c r="AU44" s="11">
        <f t="shared" si="10"/>
        <v>0.96278263286841526</v>
      </c>
      <c r="AV44" s="11">
        <f t="shared" si="10"/>
        <v>0.96354363377699714</v>
      </c>
      <c r="AW44" s="11">
        <f t="shared" si="10"/>
        <v>0.96428936439563573</v>
      </c>
      <c r="AX44" s="11">
        <f t="shared" si="10"/>
        <v>0.96502011923628328</v>
      </c>
      <c r="AY44" s="11">
        <f t="shared" si="10"/>
        <v>0.96573618762241198</v>
      </c>
      <c r="AZ44" s="11">
        <f t="shared" si="10"/>
        <v>0.96643785375964353</v>
      </c>
    </row>
    <row r="45" spans="1:52" ht="13">
      <c r="A45" s="9" t="s">
        <v>21</v>
      </c>
      <c r="B45" s="11">
        <f t="shared" ref="B45:AZ45" si="11">EXP(-EXP(B33))</f>
        <v>0.9797819800333013</v>
      </c>
      <c r="C45" s="11">
        <f t="shared" si="11"/>
        <v>0.98041242945327001</v>
      </c>
      <c r="D45" s="11">
        <f t="shared" si="11"/>
        <v>0.98102341079940025</v>
      </c>
      <c r="E45" s="11">
        <f t="shared" si="11"/>
        <v>0.98161551343350617</v>
      </c>
      <c r="F45" s="11">
        <f t="shared" si="11"/>
        <v>0.98218930960822359</v>
      </c>
      <c r="G45" s="11">
        <f t="shared" si="11"/>
        <v>0.98274535491770254</v>
      </c>
      <c r="H45" s="11">
        <f t="shared" si="11"/>
        <v>0.98328418873940493</v>
      </c>
      <c r="I45" s="11">
        <f t="shared" si="11"/>
        <v>0.98380633466697043</v>
      </c>
      <c r="J45" s="11">
        <f t="shared" si="11"/>
        <v>0.98431230093413091</v>
      </c>
      <c r="K45" s="11">
        <f t="shared" si="11"/>
        <v>0.98480258082968797</v>
      </c>
      <c r="L45" s="11">
        <f t="shared" si="11"/>
        <v>0.98527765310356541</v>
      </c>
      <c r="M45" s="11">
        <f t="shared" si="11"/>
        <v>0.98573798236397681</v>
      </c>
      <c r="N45" s="11">
        <f t="shared" si="11"/>
        <v>0.9861840194657473</v>
      </c>
      <c r="O45" s="11">
        <f t="shared" si="11"/>
        <v>0.98661620188986032</v>
      </c>
      <c r="P45" s="11">
        <f t="shared" si="11"/>
        <v>0.98703495411429321</v>
      </c>
      <c r="Q45" s="11">
        <f t="shared" si="11"/>
        <v>0.98744068797622009</v>
      </c>
      <c r="R45" s="11">
        <f t="shared" si="11"/>
        <v>0.98783380302567769</v>
      </c>
      <c r="S45" s="11">
        <f t="shared" si="11"/>
        <v>0.98821468687078917</v>
      </c>
      <c r="T45" s="11">
        <f t="shared" si="11"/>
        <v>0.98858371551464408</v>
      </c>
      <c r="U45" s="11">
        <f t="shared" si="11"/>
        <v>0.98894125368395491</v>
      </c>
      <c r="V45" s="11">
        <f t="shared" si="11"/>
        <v>0.98928765514960015</v>
      </c>
      <c r="W45" s="11">
        <f t="shared" si="11"/>
        <v>0.98962326303917303</v>
      </c>
      <c r="X45" s="11">
        <f t="shared" si="11"/>
        <v>0.98994841014166712</v>
      </c>
      <c r="Y45" s="11">
        <f t="shared" si="11"/>
        <v>0.9902634192044234</v>
      </c>
      <c r="Z45" s="11">
        <f t="shared" si="11"/>
        <v>0.9905686032224682</v>
      </c>
      <c r="AA45" s="11">
        <f t="shared" si="11"/>
        <v>0.99086426572038222</v>
      </c>
      <c r="AB45" s="11">
        <f t="shared" si="11"/>
        <v>0.99115070102683156</v>
      </c>
      <c r="AC45" s="11">
        <f t="shared" si="11"/>
        <v>0.9914281945419019</v>
      </c>
      <c r="AD45" s="11">
        <f t="shared" si="11"/>
        <v>0.99169702299737106</v>
      </c>
      <c r="AE45" s="11">
        <f t="shared" si="11"/>
        <v>0.99195745471006502</v>
      </c>
      <c r="AF45" s="11">
        <f t="shared" si="11"/>
        <v>0.9922097498284338</v>
      </c>
      <c r="AG45" s="11">
        <f t="shared" si="11"/>
        <v>0.9924541605724887</v>
      </c>
      <c r="AH45" s="11">
        <f t="shared" si="11"/>
        <v>0.99269093146724252</v>
      </c>
      <c r="AI45" s="11">
        <f t="shared" si="11"/>
        <v>0.99292029956979255</v>
      </c>
      <c r="AJ45" s="11">
        <f t="shared" si="11"/>
        <v>0.99314249469018667</v>
      </c>
      <c r="AK45" s="11">
        <f t="shared" si="11"/>
        <v>0.99335773960620877</v>
      </c>
      <c r="AL45" s="11">
        <f t="shared" si="11"/>
        <v>0.99356625027222523</v>
      </c>
      <c r="AM45" s="11">
        <f t="shared" si="11"/>
        <v>0.99376823602222886</v>
      </c>
      <c r="AN45" s="11">
        <f t="shared" si="11"/>
        <v>0.99396389976721145</v>
      </c>
      <c r="AO45" s="11">
        <f t="shared" si="11"/>
        <v>0.99415343818700608</v>
      </c>
      <c r="AP45" s="11">
        <f t="shared" si="11"/>
        <v>0.99433704191672578</v>
      </c>
      <c r="AQ45" s="11">
        <f t="shared" si="11"/>
        <v>0.99451489572793395</v>
      </c>
      <c r="AR45" s="11">
        <f t="shared" si="11"/>
        <v>0.9946871787046716</v>
      </c>
      <c r="AS45" s="11">
        <f t="shared" si="11"/>
        <v>0.99485406441447388</v>
      </c>
      <c r="AT45" s="11">
        <f t="shared" si="11"/>
        <v>0.9950157210744961</v>
      </c>
      <c r="AU45" s="11">
        <f t="shared" si="11"/>
        <v>0.99517231171287623</v>
      </c>
      <c r="AV45" s="11">
        <f t="shared" si="11"/>
        <v>0.99532399432545471</v>
      </c>
      <c r="AW45" s="11">
        <f t="shared" si="11"/>
        <v>0.99547092202797038</v>
      </c>
      <c r="AX45" s="11">
        <f t="shared" si="11"/>
        <v>0.99561324320384881</v>
      </c>
      <c r="AY45" s="11">
        <f t="shared" si="11"/>
        <v>0.99575110164770075</v>
      </c>
      <c r="AZ45" s="11">
        <f t="shared" si="11"/>
        <v>0.99588463670464167</v>
      </c>
    </row>
    <row r="46" spans="1:52" ht="13">
      <c r="A46" s="9" t="s">
        <v>22</v>
      </c>
      <c r="B46" s="11">
        <f t="shared" ref="B46:AZ46" si="12">EXP(-EXP(B34))</f>
        <v>0.99796207023696737</v>
      </c>
      <c r="C46" s="11">
        <f t="shared" si="12"/>
        <v>0.99805768660465033</v>
      </c>
      <c r="D46" s="11">
        <f t="shared" si="12"/>
        <v>0.99814882096902124</v>
      </c>
      <c r="E46" s="11">
        <f t="shared" si="12"/>
        <v>0.99823568304167498</v>
      </c>
      <c r="F46" s="11">
        <f t="shared" si="12"/>
        <v>0.99831847275687535</v>
      </c>
      <c r="G46" s="11">
        <f t="shared" si="12"/>
        <v>0.99839738072418527</v>
      </c>
      <c r="H46" s="11">
        <f t="shared" si="12"/>
        <v>0.99847258866044031</v>
      </c>
      <c r="I46" s="11">
        <f t="shared" si="12"/>
        <v>0.99854426980197897</v>
      </c>
      <c r="J46" s="11">
        <f t="shared" si="12"/>
        <v>0.99861258929800734</v>
      </c>
      <c r="K46" s="11">
        <f t="shared" si="12"/>
        <v>0.99867770458594018</v>
      </c>
      <c r="L46" s="11">
        <f t="shared" si="12"/>
        <v>0.99873976574952228</v>
      </c>
      <c r="M46" s="11">
        <f t="shared" si="12"/>
        <v>0.99879891586050218</v>
      </c>
      <c r="N46" s="11">
        <f t="shared" si="12"/>
        <v>0.99885529130459694</v>
      </c>
      <c r="O46" s="11">
        <f t="shared" si="12"/>
        <v>0.99890902209245425</v>
      </c>
      <c r="P46" s="11">
        <f t="shared" si="12"/>
        <v>0.99896023215628982</v>
      </c>
      <c r="Q46" s="11">
        <f t="shared" si="12"/>
        <v>0.99900903963284493</v>
      </c>
      <c r="R46" s="11">
        <f t="shared" si="12"/>
        <v>0.99905555713328598</v>
      </c>
      <c r="S46" s="11">
        <f t="shared" si="12"/>
        <v>0.99909989200063709</v>
      </c>
      <c r="T46" s="11">
        <f t="shared" si="12"/>
        <v>0.99914214655531175</v>
      </c>
      <c r="U46" s="11">
        <f t="shared" si="12"/>
        <v>0.999182418329286</v>
      </c>
      <c r="V46" s="11">
        <f t="shared" si="12"/>
        <v>0.99922080028943061</v>
      </c>
      <c r="W46" s="11">
        <f t="shared" si="12"/>
        <v>0.999257381050496</v>
      </c>
      <c r="X46" s="11">
        <f t="shared" si="12"/>
        <v>0.99929224507822501</v>
      </c>
      <c r="Y46" s="11">
        <f t="shared" si="12"/>
        <v>0.99932547288304285</v>
      </c>
      <c r="Z46" s="11">
        <f t="shared" si="12"/>
        <v>0.99935714120475772</v>
      </c>
      <c r="AA46" s="11">
        <f t="shared" si="12"/>
        <v>0.99938732318868417</v>
      </c>
      <c r="AB46" s="11">
        <f t="shared" si="12"/>
        <v>0.99941608855358255</v>
      </c>
      <c r="AC46" s="11">
        <f t="shared" si="12"/>
        <v>0.99944350375179136</v>
      </c>
      <c r="AD46" s="11">
        <f t="shared" si="12"/>
        <v>0.9994696321219122</v>
      </c>
      <c r="AE46" s="11">
        <f t="shared" si="12"/>
        <v>0.99949453403438926</v>
      </c>
      <c r="AF46" s="11">
        <f t="shared" si="12"/>
        <v>0.99951826703031232</v>
      </c>
      <c r="AG46" s="11">
        <f t="shared" si="12"/>
        <v>0.99954088595375501</v>
      </c>
      <c r="AH46" s="11">
        <f t="shared" si="12"/>
        <v>0.99956244307794762</v>
      </c>
      <c r="AI46" s="11">
        <f t="shared" si="12"/>
        <v>0.99958298822556924</v>
      </c>
      <c r="AJ46" s="11">
        <f t="shared" si="12"/>
        <v>0.99960256888343113</v>
      </c>
      <c r="AK46" s="11">
        <f t="shared" si="12"/>
        <v>0.99962123031181105</v>
      </c>
      <c r="AL46" s="11">
        <f t="shared" si="12"/>
        <v>0.99963901564868718</v>
      </c>
      <c r="AM46" s="11">
        <f t="shared" si="12"/>
        <v>0.99965596600910622</v>
      </c>
      <c r="AN46" s="11">
        <f t="shared" si="12"/>
        <v>0.99967212057991373</v>
      </c>
      <c r="AO46" s="11">
        <f t="shared" si="12"/>
        <v>0.99968751671005973</v>
      </c>
      <c r="AP46" s="11">
        <f t="shared" si="12"/>
        <v>0.99970218999668692</v>
      </c>
      <c r="AQ46" s="11">
        <f t="shared" si="12"/>
        <v>0.99971617436719618</v>
      </c>
      <c r="AR46" s="11">
        <f t="shared" si="12"/>
        <v>0.99972950215747725</v>
      </c>
      <c r="AS46" s="11">
        <f t="shared" si="12"/>
        <v>0.99974220418648185</v>
      </c>
      <c r="AT46" s="11">
        <f t="shared" si="12"/>
        <v>0.99975430982731117</v>
      </c>
      <c r="AU46" s="11">
        <f t="shared" si="12"/>
        <v>0.99976584707497806</v>
      </c>
      <c r="AV46" s="11">
        <f t="shared" si="12"/>
        <v>0.99977684261100008</v>
      </c>
      <c r="AW46" s="11">
        <f t="shared" si="12"/>
        <v>0.99978732186497099</v>
      </c>
      <c r="AX46" s="11">
        <f t="shared" si="12"/>
        <v>0.99979730907325071</v>
      </c>
      <c r="AY46" s="11">
        <f t="shared" si="12"/>
        <v>0.99980682733490855</v>
      </c>
      <c r="AZ46" s="11">
        <f t="shared" si="12"/>
        <v>0.99981589866504861</v>
      </c>
    </row>
    <row r="47" spans="1:52">
      <c r="B47" s="2"/>
    </row>
    <row r="48" spans="1:52" s="6" customFormat="1">
      <c r="A48" s="5" t="s">
        <v>11</v>
      </c>
    </row>
    <row r="49" spans="1:52">
      <c r="A49" s="1" t="s">
        <v>44</v>
      </c>
    </row>
    <row r="51" spans="1:52" ht="13">
      <c r="A51" s="9" t="s">
        <v>23</v>
      </c>
      <c r="B51" s="10">
        <v>2020</v>
      </c>
      <c r="C51" s="10">
        <v>2021</v>
      </c>
      <c r="D51" s="10">
        <v>2022</v>
      </c>
      <c r="E51" s="10">
        <v>2023</v>
      </c>
      <c r="F51" s="10">
        <v>2024</v>
      </c>
      <c r="G51" s="10">
        <v>2025</v>
      </c>
      <c r="H51" s="10">
        <v>2026</v>
      </c>
      <c r="I51" s="10">
        <v>2027</v>
      </c>
      <c r="J51" s="10">
        <v>2028</v>
      </c>
      <c r="K51" s="10">
        <v>2029</v>
      </c>
      <c r="L51" s="10">
        <v>2030</v>
      </c>
      <c r="M51" s="10">
        <v>2031</v>
      </c>
      <c r="N51" s="10">
        <v>2032</v>
      </c>
      <c r="O51" s="10">
        <v>2033</v>
      </c>
      <c r="P51" s="10">
        <v>2034</v>
      </c>
      <c r="Q51" s="10">
        <v>2035</v>
      </c>
      <c r="R51" s="10">
        <v>2036</v>
      </c>
      <c r="S51" s="10">
        <v>2037</v>
      </c>
      <c r="T51" s="10">
        <v>2038</v>
      </c>
      <c r="U51" s="10">
        <v>2039</v>
      </c>
      <c r="V51" s="10">
        <v>2040</v>
      </c>
      <c r="W51" s="10">
        <v>2041</v>
      </c>
      <c r="X51" s="10">
        <v>2042</v>
      </c>
      <c r="Y51" s="10">
        <v>2043</v>
      </c>
      <c r="Z51" s="10">
        <v>2044</v>
      </c>
      <c r="AA51" s="10">
        <v>2045</v>
      </c>
      <c r="AB51" s="10">
        <v>2046</v>
      </c>
      <c r="AC51" s="10">
        <v>2047</v>
      </c>
      <c r="AD51" s="10">
        <v>2048</v>
      </c>
      <c r="AE51" s="10">
        <v>2049</v>
      </c>
      <c r="AF51" s="10">
        <v>2050</v>
      </c>
      <c r="AG51" s="10">
        <v>2051</v>
      </c>
      <c r="AH51" s="10">
        <v>2052</v>
      </c>
      <c r="AI51" s="10">
        <v>2053</v>
      </c>
      <c r="AJ51" s="10">
        <v>2054</v>
      </c>
      <c r="AK51" s="10">
        <v>2055</v>
      </c>
      <c r="AL51" s="10">
        <v>2056</v>
      </c>
      <c r="AM51" s="10">
        <v>2057</v>
      </c>
      <c r="AN51" s="10">
        <v>2058</v>
      </c>
      <c r="AO51" s="10">
        <v>2059</v>
      </c>
      <c r="AP51" s="10">
        <v>2060</v>
      </c>
      <c r="AQ51" s="10">
        <v>2061</v>
      </c>
      <c r="AR51" s="10">
        <v>2062</v>
      </c>
      <c r="AS51" s="10">
        <v>2063</v>
      </c>
      <c r="AT51" s="10">
        <v>2064</v>
      </c>
      <c r="AU51" s="10">
        <v>2065</v>
      </c>
      <c r="AV51" s="10">
        <v>2066</v>
      </c>
      <c r="AW51" s="10">
        <v>2067</v>
      </c>
      <c r="AX51" s="10">
        <v>2068</v>
      </c>
      <c r="AY51" s="10">
        <v>2069</v>
      </c>
      <c r="AZ51" s="10">
        <v>2070</v>
      </c>
    </row>
    <row r="52" spans="1:52" ht="13">
      <c r="A52" s="9" t="s">
        <v>16</v>
      </c>
      <c r="B52" s="11">
        <f>B41</f>
        <v>0.14763284990893449</v>
      </c>
      <c r="C52" s="11">
        <f t="shared" ref="C52:AZ52" si="13">C41</f>
        <v>0.14770872685949066</v>
      </c>
      <c r="D52" s="11">
        <f t="shared" si="13"/>
        <v>0.14778462241183607</v>
      </c>
      <c r="E52" s="11">
        <f t="shared" si="13"/>
        <v>0.14786053656005635</v>
      </c>
      <c r="F52" s="11">
        <f t="shared" si="13"/>
        <v>0.14793646929823073</v>
      </c>
      <c r="G52" s="11">
        <f t="shared" si="13"/>
        <v>0.1480124206204376</v>
      </c>
      <c r="H52" s="11">
        <f t="shared" si="13"/>
        <v>0.14808839052075232</v>
      </c>
      <c r="I52" s="11">
        <f t="shared" si="13"/>
        <v>0.14816437899324031</v>
      </c>
      <c r="J52" s="11">
        <f t="shared" si="13"/>
        <v>0.14824038603197096</v>
      </c>
      <c r="K52" s="11">
        <f t="shared" si="13"/>
        <v>0.14831641163100595</v>
      </c>
      <c r="L52" s="11">
        <f t="shared" si="13"/>
        <v>0.14839245578440505</v>
      </c>
      <c r="M52" s="11">
        <f t="shared" si="13"/>
        <v>0.14846851848622025</v>
      </c>
      <c r="N52" s="11">
        <f t="shared" si="13"/>
        <v>0.14854459973050443</v>
      </c>
      <c r="O52" s="11">
        <f t="shared" si="13"/>
        <v>0.14862069951130596</v>
      </c>
      <c r="P52" s="11">
        <f t="shared" si="13"/>
        <v>0.14869681782266597</v>
      </c>
      <c r="Q52" s="11">
        <f t="shared" si="13"/>
        <v>0.14877295465862544</v>
      </c>
      <c r="R52" s="11">
        <f t="shared" si="13"/>
        <v>0.1488491100132221</v>
      </c>
      <c r="S52" s="11">
        <f t="shared" si="13"/>
        <v>0.1489252838804847</v>
      </c>
      <c r="T52" s="11">
        <f t="shared" si="13"/>
        <v>0.14900147625444457</v>
      </c>
      <c r="U52" s="11">
        <f t="shared" si="13"/>
        <v>0.14907768712912792</v>
      </c>
      <c r="V52" s="11">
        <f t="shared" si="13"/>
        <v>0.1491539164985515</v>
      </c>
      <c r="W52" s="11">
        <f t="shared" si="13"/>
        <v>0.14923016435673633</v>
      </c>
      <c r="X52" s="11">
        <f t="shared" si="13"/>
        <v>0.14930643069769711</v>
      </c>
      <c r="Y52" s="11">
        <f t="shared" si="13"/>
        <v>0.14938271551543972</v>
      </c>
      <c r="Z52" s="11">
        <f t="shared" si="13"/>
        <v>0.14945901880397319</v>
      </c>
      <c r="AA52" s="11">
        <f t="shared" si="13"/>
        <v>0.14953534055730019</v>
      </c>
      <c r="AB52" s="11">
        <f t="shared" si="13"/>
        <v>0.14961168076942122</v>
      </c>
      <c r="AC52" s="11">
        <f t="shared" si="13"/>
        <v>0.14968803943432732</v>
      </c>
      <c r="AD52" s="11">
        <f t="shared" si="13"/>
        <v>0.14976441654601264</v>
      </c>
      <c r="AE52" s="11">
        <f t="shared" si="13"/>
        <v>0.14984081209846692</v>
      </c>
      <c r="AF52" s="11">
        <f t="shared" si="13"/>
        <v>0.14991722608566971</v>
      </c>
      <c r="AG52" s="11">
        <f t="shared" si="13"/>
        <v>0.14999365850160454</v>
      </c>
      <c r="AH52" s="11">
        <f t="shared" si="13"/>
        <v>0.15007010934024731</v>
      </c>
      <c r="AI52" s="11">
        <f t="shared" si="13"/>
        <v>0.15014657859557354</v>
      </c>
      <c r="AJ52" s="11">
        <f t="shared" si="13"/>
        <v>0.15022306626154805</v>
      </c>
      <c r="AK52" s="11">
        <f t="shared" si="13"/>
        <v>0.15029957233213959</v>
      </c>
      <c r="AL52" s="11">
        <f t="shared" si="13"/>
        <v>0.15037609680131112</v>
      </c>
      <c r="AM52" s="11">
        <f t="shared" si="13"/>
        <v>0.15045263966301745</v>
      </c>
      <c r="AN52" s="11">
        <f t="shared" si="13"/>
        <v>0.15052920091121597</v>
      </c>
      <c r="AO52" s="11">
        <f t="shared" si="13"/>
        <v>0.15060578053985713</v>
      </c>
      <c r="AP52" s="11">
        <f t="shared" si="13"/>
        <v>0.15068237854288952</v>
      </c>
      <c r="AQ52" s="11">
        <f t="shared" si="13"/>
        <v>0.15075899491425404</v>
      </c>
      <c r="AR52" s="11">
        <f t="shared" si="13"/>
        <v>0.15083562964789443</v>
      </c>
      <c r="AS52" s="11">
        <f t="shared" si="13"/>
        <v>0.15091228273774321</v>
      </c>
      <c r="AT52" s="11">
        <f t="shared" si="13"/>
        <v>0.15098895417773431</v>
      </c>
      <c r="AU52" s="11">
        <f t="shared" si="13"/>
        <v>0.1510656439617977</v>
      </c>
      <c r="AV52" s="11">
        <f t="shared" si="13"/>
        <v>0.15114235208386068</v>
      </c>
      <c r="AW52" s="11">
        <f t="shared" si="13"/>
        <v>0.15121907853784047</v>
      </c>
      <c r="AX52" s="11">
        <f t="shared" si="13"/>
        <v>0.15129582331765828</v>
      </c>
      <c r="AY52" s="11">
        <f t="shared" si="13"/>
        <v>0.15137258641722953</v>
      </c>
      <c r="AZ52" s="11">
        <f t="shared" si="13"/>
        <v>0.15144936783046153</v>
      </c>
    </row>
    <row r="53" spans="1:52" ht="13">
      <c r="A53" s="9" t="s">
        <v>17</v>
      </c>
      <c r="B53" s="11">
        <f>B42-B41</f>
        <v>0.32133908816586937</v>
      </c>
      <c r="C53" s="11">
        <f t="shared" ref="C53:AZ57" si="14">C42-C41</f>
        <v>0.3236570589581142</v>
      </c>
      <c r="D53" s="11">
        <f t="shared" si="14"/>
        <v>0.32597101117365834</v>
      </c>
      <c r="E53" s="11">
        <f t="shared" si="14"/>
        <v>0.32828087009901419</v>
      </c>
      <c r="F53" s="11">
        <f t="shared" si="14"/>
        <v>0.33058656197230296</v>
      </c>
      <c r="G53" s="11">
        <f t="shared" si="14"/>
        <v>0.33288801398259948</v>
      </c>
      <c r="H53" s="11">
        <f t="shared" si="14"/>
        <v>0.33518515426912343</v>
      </c>
      <c r="I53" s="11">
        <f t="shared" si="14"/>
        <v>0.33747791192025522</v>
      </c>
      <c r="J53" s="11">
        <f t="shared" si="14"/>
        <v>0.33976621697236176</v>
      </c>
      <c r="K53" s="11">
        <f t="shared" si="14"/>
        <v>0.34205000040847572</v>
      </c>
      <c r="L53" s="11">
        <f t="shared" si="14"/>
        <v>0.34432919415680008</v>
      </c>
      <c r="M53" s="11">
        <f t="shared" si="14"/>
        <v>0.34660373108906417</v>
      </c>
      <c r="N53" s="11">
        <f t="shared" si="14"/>
        <v>0.34887354501869905</v>
      </c>
      <c r="O53" s="11">
        <f t="shared" si="14"/>
        <v>0.35113857069887999</v>
      </c>
      <c r="P53" s="11">
        <f t="shared" si="14"/>
        <v>0.35339874382041947</v>
      </c>
      <c r="Q53" s="11">
        <f t="shared" si="14"/>
        <v>0.35565400100948902</v>
      </c>
      <c r="R53" s="11">
        <f t="shared" si="14"/>
        <v>0.35790427982521922</v>
      </c>
      <c r="S53" s="11">
        <f t="shared" si="14"/>
        <v>0.36014951875715856</v>
      </c>
      <c r="T53" s="11">
        <f t="shared" si="14"/>
        <v>0.36238965722257266</v>
      </c>
      <c r="U53" s="11">
        <f t="shared" si="14"/>
        <v>0.36462463556362923</v>
      </c>
      <c r="V53" s="11">
        <f t="shared" si="14"/>
        <v>0.36685439504445183</v>
      </c>
      <c r="W53" s="11">
        <f t="shared" si="14"/>
        <v>0.36907887784802418</v>
      </c>
      <c r="X53" s="11">
        <f t="shared" si="14"/>
        <v>0.37129802707298809</v>
      </c>
      <c r="Y53" s="11">
        <f t="shared" si="14"/>
        <v>0.37351178673032093</v>
      </c>
      <c r="Z53" s="11">
        <f t="shared" si="14"/>
        <v>0.37572010173987103</v>
      </c>
      <c r="AA53" s="11">
        <f t="shared" si="14"/>
        <v>0.37792291792679999</v>
      </c>
      <c r="AB53" s="11">
        <f t="shared" si="14"/>
        <v>0.38012018201789788</v>
      </c>
      <c r="AC53" s="11">
        <f t="shared" si="14"/>
        <v>0.38231184163780096</v>
      </c>
      <c r="AD53" s="11">
        <f t="shared" si="14"/>
        <v>0.38449784530507952</v>
      </c>
      <c r="AE53" s="11">
        <f t="shared" si="14"/>
        <v>0.38667814242823972</v>
      </c>
      <c r="AF53" s="11">
        <f t="shared" si="14"/>
        <v>0.38885268330162559</v>
      </c>
      <c r="AG53" s="11">
        <f t="shared" si="14"/>
        <v>0.39102141910119947</v>
      </c>
      <c r="AH53" s="11">
        <f t="shared" si="14"/>
        <v>0.39318430188024922</v>
      </c>
      <c r="AI53" s="11">
        <f t="shared" si="14"/>
        <v>0.3953412845649894</v>
      </c>
      <c r="AJ53" s="11">
        <f t="shared" si="14"/>
        <v>0.39749232095008313</v>
      </c>
      <c r="AK53" s="11">
        <f t="shared" si="14"/>
        <v>0.39963736569405478</v>
      </c>
      <c r="AL53" s="11">
        <f t="shared" si="14"/>
        <v>0.40177637431463609</v>
      </c>
      <c r="AM53" s="11">
        <f t="shared" si="14"/>
        <v>0.40390930318403107</v>
      </c>
      <c r="AN53" s="11">
        <f t="shared" si="14"/>
        <v>0.40603610952407881</v>
      </c>
      <c r="AO53" s="11">
        <f t="shared" si="14"/>
        <v>0.40815675140136193</v>
      </c>
      <c r="AP53" s="11">
        <f t="shared" si="14"/>
        <v>0.41027118772222654</v>
      </c>
      <c r="AQ53" s="11">
        <f t="shared" si="14"/>
        <v>0.41237937822774307</v>
      </c>
      <c r="AR53" s="11">
        <f t="shared" si="14"/>
        <v>0.41448128348857149</v>
      </c>
      <c r="AS53" s="11">
        <f t="shared" si="14"/>
        <v>0.41657686489979412</v>
      </c>
      <c r="AT53" s="11">
        <f t="shared" si="14"/>
        <v>0.41866608467564825</v>
      </c>
      <c r="AU53" s="11">
        <f t="shared" si="14"/>
        <v>0.42074890584422153</v>
      </c>
      <c r="AV53" s="11">
        <f t="shared" si="14"/>
        <v>0.42282529224207294</v>
      </c>
      <c r="AW53" s="11">
        <f t="shared" si="14"/>
        <v>0.42489520850881002</v>
      </c>
      <c r="AX53" s="11">
        <f t="shared" si="14"/>
        <v>0.42695862008158664</v>
      </c>
      <c r="AY53" s="11">
        <f t="shared" si="14"/>
        <v>0.42901549318956866</v>
      </c>
      <c r="AZ53" s="11">
        <f t="shared" si="14"/>
        <v>0.43106579484834767</v>
      </c>
    </row>
    <row r="54" spans="1:52" ht="13">
      <c r="A54" s="9" t="s">
        <v>18</v>
      </c>
      <c r="B54" s="11">
        <f t="shared" ref="B54:Q57" si="15">B43-B42</f>
        <v>0.27157699215888753</v>
      </c>
      <c r="C54" s="11">
        <f t="shared" si="15"/>
        <v>0.27210787183121771</v>
      </c>
      <c r="D54" s="11">
        <f t="shared" si="15"/>
        <v>0.27261569507707589</v>
      </c>
      <c r="E54" s="11">
        <f t="shared" si="15"/>
        <v>0.27310063939514556</v>
      </c>
      <c r="F54" s="11">
        <f t="shared" si="15"/>
        <v>0.2735628850512552</v>
      </c>
      <c r="G54" s="11">
        <f t="shared" si="15"/>
        <v>0.27400261494911404</v>
      </c>
      <c r="H54" s="11">
        <f t="shared" si="15"/>
        <v>0.27442001450342846</v>
      </c>
      <c r="I54" s="11">
        <f t="shared" si="15"/>
        <v>0.2748152715153952</v>
      </c>
      <c r="J54" s="11">
        <f t="shared" si="15"/>
        <v>0.27518857605055219</v>
      </c>
      <c r="K54" s="11">
        <f t="shared" si="15"/>
        <v>0.27554012031902003</v>
      </c>
      <c r="L54" s="11">
        <f t="shared" si="15"/>
        <v>0.27587009855809791</v>
      </c>
      <c r="M54" s="11">
        <f t="shared" si="15"/>
        <v>0.27617870691723168</v>
      </c>
      <c r="N54" s="11">
        <f t="shared" si="15"/>
        <v>0.27646614334532255</v>
      </c>
      <c r="O54" s="11">
        <f t="shared" si="15"/>
        <v>0.27673260748039397</v>
      </c>
      <c r="P54" s="11">
        <f t="shared" si="15"/>
        <v>0.27697830054158956</v>
      </c>
      <c r="Q54" s="11">
        <f t="shared" si="15"/>
        <v>0.27720342522348695</v>
      </c>
      <c r="R54" s="11">
        <f t="shared" si="14"/>
        <v>0.27740818559272895</v>
      </c>
      <c r="S54" s="11">
        <f t="shared" si="14"/>
        <v>0.27759278698694989</v>
      </c>
      <c r="T54" s="11">
        <f t="shared" si="14"/>
        <v>0.27775743591596946</v>
      </c>
      <c r="U54" s="11">
        <f t="shared" si="14"/>
        <v>0.27790233996526004</v>
      </c>
      <c r="V54" s="11">
        <f t="shared" si="14"/>
        <v>0.27802770770165741</v>
      </c>
      <c r="W54" s="11">
        <f t="shared" si="14"/>
        <v>0.27813374858128148</v>
      </c>
      <c r="X54" s="11">
        <f t="shared" si="14"/>
        <v>0.27822067285967866</v>
      </c>
      <c r="Y54" s="11">
        <f t="shared" si="14"/>
        <v>0.27828869150414126</v>
      </c>
      <c r="Z54" s="11">
        <f t="shared" si="14"/>
        <v>0.27833801610818021</v>
      </c>
      <c r="AA54" s="11">
        <f t="shared" si="14"/>
        <v>0.27836885880814866</v>
      </c>
      <c r="AB54" s="11">
        <f t="shared" si="14"/>
        <v>0.2783814322019742</v>
      </c>
      <c r="AC54" s="11">
        <f t="shared" si="14"/>
        <v>0.27837594926998854</v>
      </c>
      <c r="AD54" s="11">
        <f t="shared" si="14"/>
        <v>0.2783526232978123</v>
      </c>
      <c r="AE54" s="11">
        <f t="shared" si="14"/>
        <v>0.27831166780129502</v>
      </c>
      <c r="AF54" s="11">
        <f t="shared" si="14"/>
        <v>0.27825329645346786</v>
      </c>
      <c r="AG54" s="11">
        <f t="shared" si="14"/>
        <v>0.27817772301347743</v>
      </c>
      <c r="AH54" s="11">
        <f t="shared" si="14"/>
        <v>0.2780851612574966</v>
      </c>
      <c r="AI54" s="11">
        <f t="shared" si="14"/>
        <v>0.27797582491156092</v>
      </c>
      <c r="AJ54" s="11">
        <f t="shared" si="14"/>
        <v>0.27784992758632621</v>
      </c>
      <c r="AK54" s="11">
        <f t="shared" si="14"/>
        <v>0.27770768271369106</v>
      </c>
      <c r="AL54" s="11">
        <f t="shared" si="14"/>
        <v>0.27754930348529028</v>
      </c>
      <c r="AM54" s="11">
        <f t="shared" si="14"/>
        <v>0.27737500279280747</v>
      </c>
      <c r="AN54" s="11">
        <f t="shared" si="14"/>
        <v>0.27718499317007961</v>
      </c>
      <c r="AO54" s="11">
        <f t="shared" si="14"/>
        <v>0.27697948673698192</v>
      </c>
      <c r="AP54" s="11">
        <f t="shared" si="14"/>
        <v>0.2767586951450447</v>
      </c>
      <c r="AQ54" s="11">
        <f t="shared" si="14"/>
        <v>0.27652282952478924</v>
      </c>
      <c r="AR54" s="11">
        <f t="shared" si="14"/>
        <v>0.27627210043473827</v>
      </c>
      <c r="AS54" s="11">
        <f t="shared" si="14"/>
        <v>0.27600671781209363</v>
      </c>
      <c r="AT54" s="11">
        <f t="shared" si="14"/>
        <v>0.27572689092502611</v>
      </c>
      <c r="AU54" s="11">
        <f t="shared" si="14"/>
        <v>0.27543282832657257</v>
      </c>
      <c r="AV54" s="11">
        <f t="shared" si="14"/>
        <v>0.27512473781009672</v>
      </c>
      <c r="AW54" s="11">
        <f t="shared" si="14"/>
        <v>0.27480282636629605</v>
      </c>
      <c r="AX54" s="11">
        <f t="shared" si="14"/>
        <v>0.27446730014170695</v>
      </c>
      <c r="AY54" s="11">
        <f t="shared" si="14"/>
        <v>0.27411836439870707</v>
      </c>
      <c r="AZ54" s="11">
        <f t="shared" si="14"/>
        <v>0.27375622347696593</v>
      </c>
    </row>
    <row r="55" spans="1:52" ht="13">
      <c r="A55" s="9" t="s">
        <v>19</v>
      </c>
      <c r="B55" s="11">
        <f t="shared" si="15"/>
        <v>0.16627294116030378</v>
      </c>
      <c r="C55" s="11">
        <f t="shared" si="14"/>
        <v>0.16519779858036465</v>
      </c>
      <c r="D55" s="11">
        <f t="shared" si="14"/>
        <v>0.16411483731034637</v>
      </c>
      <c r="E55" s="11">
        <f t="shared" si="14"/>
        <v>0.16302453737688272</v>
      </c>
      <c r="F55" s="11">
        <f t="shared" si="14"/>
        <v>0.16192736845660283</v>
      </c>
      <c r="G55" s="11">
        <f t="shared" si="14"/>
        <v>0.16082378994141122</v>
      </c>
      <c r="H55" s="11">
        <f t="shared" si="14"/>
        <v>0.15971425100985848</v>
      </c>
      <c r="I55" s="11">
        <f t="shared" si="14"/>
        <v>0.15859919070422812</v>
      </c>
      <c r="J55" s="11">
        <f t="shared" si="14"/>
        <v>0.15747903801297036</v>
      </c>
      <c r="K55" s="11">
        <f t="shared" si="14"/>
        <v>0.15635421195812138</v>
      </c>
      <c r="L55" s="11">
        <f t="shared" si="14"/>
        <v>0.15522512168736879</v>
      </c>
      <c r="M55" s="11">
        <f t="shared" si="14"/>
        <v>0.15409216657042746</v>
      </c>
      <c r="N55" s="11">
        <f t="shared" si="14"/>
        <v>0.15295573629942172</v>
      </c>
      <c r="O55" s="11">
        <f t="shared" si="14"/>
        <v>0.15181621099295584</v>
      </c>
      <c r="P55" s="11">
        <f t="shared" si="14"/>
        <v>0.1506739613035839</v>
      </c>
      <c r="Q55" s="11">
        <f t="shared" si="14"/>
        <v>0.14952934852841127</v>
      </c>
      <c r="R55" s="11">
        <f t="shared" si="14"/>
        <v>0.14838272472253966</v>
      </c>
      <c r="S55" s="11">
        <f t="shared" si="14"/>
        <v>0.14723443281511195</v>
      </c>
      <c r="T55" s="11">
        <f t="shared" si="14"/>
        <v>0.14608480672770996</v>
      </c>
      <c r="U55" s="11">
        <f t="shared" si="14"/>
        <v>0.14493417149486687</v>
      </c>
      <c r="V55" s="11">
        <f t="shared" si="14"/>
        <v>0.14378284338646419</v>
      </c>
      <c r="W55" s="11">
        <f t="shared" si="14"/>
        <v>0.14263113003181283</v>
      </c>
      <c r="X55" s="11">
        <f t="shared" si="14"/>
        <v>0.14147933054520168</v>
      </c>
      <c r="Y55" s="11">
        <f t="shared" si="14"/>
        <v>0.14032773565271817</v>
      </c>
      <c r="Z55" s="11">
        <f t="shared" si="14"/>
        <v>0.13917662782016393</v>
      </c>
      <c r="AA55" s="11">
        <f t="shared" si="14"/>
        <v>0.13802628138188089</v>
      </c>
      <c r="AB55" s="11">
        <f t="shared" si="14"/>
        <v>0.13687696267031935</v>
      </c>
      <c r="AC55" s="11">
        <f t="shared" si="14"/>
        <v>0.13572893014618981</v>
      </c>
      <c r="AD55" s="11">
        <f t="shared" si="14"/>
        <v>0.13458243452904983</v>
      </c>
      <c r="AE55" s="11">
        <f t="shared" si="14"/>
        <v>0.13343771892817446</v>
      </c>
      <c r="AF55" s="11">
        <f t="shared" si="14"/>
        <v>0.13229501897357721</v>
      </c>
      <c r="AG55" s="11">
        <f t="shared" si="14"/>
        <v>0.13115456294705485</v>
      </c>
      <c r="AH55" s="11">
        <f t="shared" si="14"/>
        <v>0.1300165719131281</v>
      </c>
      <c r="AI55" s="11">
        <f t="shared" si="14"/>
        <v>0.12888125984976673</v>
      </c>
      <c r="AJ55" s="11">
        <f t="shared" si="14"/>
        <v>0.12774883377878488</v>
      </c>
      <c r="AK55" s="11">
        <f t="shared" si="14"/>
        <v>0.12661949389581351</v>
      </c>
      <c r="AL55" s="11">
        <f t="shared" si="14"/>
        <v>0.12549343369974164</v>
      </c>
      <c r="AM55" s="11">
        <f t="shared" si="14"/>
        <v>0.12437084012153909</v>
      </c>
      <c r="AN55" s="11">
        <f t="shared" si="14"/>
        <v>0.12325189365238298</v>
      </c>
      <c r="AO55" s="11">
        <f t="shared" si="14"/>
        <v>0.1221367684709953</v>
      </c>
      <c r="AP55" s="11">
        <f t="shared" si="14"/>
        <v>0.12102563257012577</v>
      </c>
      <c r="AQ55" s="11">
        <f t="shared" si="14"/>
        <v>0.11991864788210238</v>
      </c>
      <c r="AR55" s="11">
        <f t="shared" si="14"/>
        <v>0.1188159704033972</v>
      </c>
      <c r="AS55" s="11">
        <f t="shared" si="14"/>
        <v>0.11771775031812759</v>
      </c>
      <c r="AT55" s="11">
        <f t="shared" si="14"/>
        <v>0.11662413212045686</v>
      </c>
      <c r="AU55" s="11">
        <f t="shared" si="14"/>
        <v>0.11553525473582349</v>
      </c>
      <c r="AV55" s="11">
        <f t="shared" si="14"/>
        <v>0.11445125164096681</v>
      </c>
      <c r="AW55" s="11">
        <f t="shared" si="14"/>
        <v>0.11337225098268922</v>
      </c>
      <c r="AX55" s="11">
        <f t="shared" si="14"/>
        <v>0.11229837569533141</v>
      </c>
      <c r="AY55" s="11">
        <f t="shared" si="14"/>
        <v>0.11122974361690674</v>
      </c>
      <c r="AZ55" s="11">
        <f t="shared" si="14"/>
        <v>0.11016646760386839</v>
      </c>
    </row>
    <row r="56" spans="1:52" ht="13">
      <c r="A56" s="9" t="s">
        <v>20</v>
      </c>
      <c r="B56" s="11">
        <f t="shared" si="15"/>
        <v>7.2960108639306132E-2</v>
      </c>
      <c r="C56" s="11">
        <f t="shared" si="14"/>
        <v>7.1740973224082794E-2</v>
      </c>
      <c r="D56" s="11">
        <f t="shared" si="14"/>
        <v>7.0537244826483603E-2</v>
      </c>
      <c r="E56" s="11">
        <f t="shared" si="14"/>
        <v>6.9348930002407383E-2</v>
      </c>
      <c r="F56" s="11">
        <f t="shared" si="14"/>
        <v>6.8176024829831872E-2</v>
      </c>
      <c r="G56" s="11">
        <f t="shared" si="14"/>
        <v>6.7018515424140168E-2</v>
      </c>
      <c r="H56" s="11">
        <f t="shared" si="14"/>
        <v>6.5876378436242278E-2</v>
      </c>
      <c r="I56" s="11">
        <f t="shared" si="14"/>
        <v>6.4749581533851575E-2</v>
      </c>
      <c r="J56" s="11">
        <f t="shared" si="14"/>
        <v>6.3638083866275674E-2</v>
      </c>
      <c r="K56" s="11">
        <f t="shared" si="14"/>
        <v>6.2541836513064886E-2</v>
      </c>
      <c r="L56" s="11">
        <f t="shared" si="14"/>
        <v>6.1460782916893608E-2</v>
      </c>
      <c r="M56" s="11">
        <f t="shared" si="14"/>
        <v>6.0394859301033277E-2</v>
      </c>
      <c r="N56" s="11">
        <f t="shared" si="14"/>
        <v>5.9343995071799549E-2</v>
      </c>
      <c r="O56" s="11">
        <f t="shared" si="14"/>
        <v>5.8308113206324563E-2</v>
      </c>
      <c r="P56" s="11">
        <f t="shared" si="14"/>
        <v>5.7287130626034299E-2</v>
      </c>
      <c r="Q56" s="11">
        <f t="shared" si="14"/>
        <v>5.6280958556207406E-2</v>
      </c>
      <c r="R56" s="11">
        <f t="shared" si="14"/>
        <v>5.5289502871967766E-2</v>
      </c>
      <c r="S56" s="11">
        <f t="shared" si="14"/>
        <v>5.4312664431084068E-2</v>
      </c>
      <c r="T56" s="11">
        <f t="shared" si="14"/>
        <v>5.3350339393947399E-2</v>
      </c>
      <c r="U56" s="11">
        <f t="shared" si="14"/>
        <v>5.2402419531070832E-2</v>
      </c>
      <c r="V56" s="11">
        <f t="shared" si="14"/>
        <v>5.1468792518475248E-2</v>
      </c>
      <c r="W56" s="11">
        <f t="shared" si="14"/>
        <v>5.0549342221318239E-2</v>
      </c>
      <c r="X56" s="11">
        <f t="shared" si="14"/>
        <v>4.9643948966101581E-2</v>
      </c>
      <c r="Y56" s="11">
        <f t="shared" si="14"/>
        <v>4.8752489801803356E-2</v>
      </c>
      <c r="Z56" s="11">
        <f t="shared" si="14"/>
        <v>4.7874838750279869E-2</v>
      </c>
      <c r="AA56" s="11">
        <f t="shared" si="14"/>
        <v>4.7010867046252458E-2</v>
      </c>
      <c r="AB56" s="11">
        <f t="shared" si="14"/>
        <v>4.6160443367218917E-2</v>
      </c>
      <c r="AC56" s="11">
        <f t="shared" si="14"/>
        <v>4.5323434053595291E-2</v>
      </c>
      <c r="AD56" s="11">
        <f t="shared" si="14"/>
        <v>4.4499703319416772E-2</v>
      </c>
      <c r="AE56" s="11">
        <f t="shared" si="14"/>
        <v>4.3689113453888928E-2</v>
      </c>
      <c r="AF56" s="11">
        <f t="shared" si="14"/>
        <v>4.2891525014093435E-2</v>
      </c>
      <c r="AG56" s="11">
        <f t="shared" si="14"/>
        <v>4.210679700915243E-2</v>
      </c>
      <c r="AH56" s="11">
        <f t="shared" si="14"/>
        <v>4.133478707612126E-2</v>
      </c>
      <c r="AI56" s="11">
        <f t="shared" si="14"/>
        <v>4.0575351647901936E-2</v>
      </c>
      <c r="AJ56" s="11">
        <f t="shared" si="14"/>
        <v>3.9828346113444435E-2</v>
      </c>
      <c r="AK56" s="11">
        <f t="shared" si="14"/>
        <v>3.9093624970509833E-2</v>
      </c>
      <c r="AL56" s="11">
        <f t="shared" si="14"/>
        <v>3.8371041971246078E-2</v>
      </c>
      <c r="AM56" s="11">
        <f t="shared" si="14"/>
        <v>3.7660450260833755E-2</v>
      </c>
      <c r="AN56" s="11">
        <f t="shared" si="14"/>
        <v>3.6961702509454075E-2</v>
      </c>
      <c r="AO56" s="11">
        <f t="shared" si="14"/>
        <v>3.6274651037809802E-2</v>
      </c>
      <c r="AP56" s="11">
        <f t="shared" si="14"/>
        <v>3.5599147936439257E-2</v>
      </c>
      <c r="AQ56" s="11">
        <f t="shared" si="14"/>
        <v>3.4935045179045221E-2</v>
      </c>
      <c r="AR56" s="11">
        <f t="shared" si="14"/>
        <v>3.4282194730070215E-2</v>
      </c>
      <c r="AS56" s="11">
        <f t="shared" si="14"/>
        <v>3.3640448646715337E-2</v>
      </c>
      <c r="AT56" s="11">
        <f t="shared" si="14"/>
        <v>3.300965917563059E-2</v>
      </c>
      <c r="AU56" s="11">
        <f t="shared" si="14"/>
        <v>3.2389678844460978E-2</v>
      </c>
      <c r="AV56" s="11">
        <f t="shared" si="14"/>
        <v>3.1780360548457565E-2</v>
      </c>
      <c r="AW56" s="11">
        <f t="shared" si="14"/>
        <v>3.1181557632334655E-2</v>
      </c>
      <c r="AX56" s="11">
        <f t="shared" si="14"/>
        <v>3.0593123967565528E-2</v>
      </c>
      <c r="AY56" s="11">
        <f t="shared" si="14"/>
        <v>3.0014914025288775E-2</v>
      </c>
      <c r="AZ56" s="11">
        <f t="shared" si="14"/>
        <v>2.944678294499814E-2</v>
      </c>
    </row>
    <row r="57" spans="1:52" ht="13">
      <c r="A57" s="9" t="s">
        <v>21</v>
      </c>
      <c r="B57" s="11">
        <f t="shared" si="15"/>
        <v>1.8180090203666066E-2</v>
      </c>
      <c r="C57" s="11">
        <f t="shared" si="14"/>
        <v>1.7645257151380322E-2</v>
      </c>
      <c r="D57" s="11">
        <f t="shared" si="14"/>
        <v>1.7125410169620991E-2</v>
      </c>
      <c r="E57" s="11">
        <f t="shared" si="14"/>
        <v>1.6620169608168811E-2</v>
      </c>
      <c r="F57" s="11">
        <f t="shared" si="14"/>
        <v>1.6129163148651759E-2</v>
      </c>
      <c r="G57" s="11">
        <f t="shared" si="14"/>
        <v>1.5652025806482728E-2</v>
      </c>
      <c r="H57" s="11">
        <f t="shared" si="14"/>
        <v>1.5188399921035378E-2</v>
      </c>
      <c r="I57" s="11">
        <f t="shared" si="14"/>
        <v>1.473793513500854E-2</v>
      </c>
      <c r="J57" s="11">
        <f t="shared" si="14"/>
        <v>1.4300288363876423E-2</v>
      </c>
      <c r="K57" s="11">
        <f t="shared" si="14"/>
        <v>1.3875123756252217E-2</v>
      </c>
      <c r="L57" s="11">
        <f t="shared" si="14"/>
        <v>1.346211264595687E-2</v>
      </c>
      <c r="M57" s="11">
        <f t="shared" si="14"/>
        <v>1.3060933496525373E-2</v>
      </c>
      <c r="N57" s="11">
        <f t="shared" si="14"/>
        <v>1.267127183884964E-2</v>
      </c>
      <c r="O57" s="11">
        <f t="shared" si="14"/>
        <v>1.2292820202593924E-2</v>
      </c>
      <c r="P57" s="11">
        <f t="shared" si="14"/>
        <v>1.1925278041996612E-2</v>
      </c>
      <c r="Q57" s="11">
        <f t="shared" si="14"/>
        <v>1.1568351656624842E-2</v>
      </c>
      <c r="R57" s="11">
        <f t="shared" si="14"/>
        <v>1.1221754107608284E-2</v>
      </c>
      <c r="S57" s="11">
        <f t="shared" si="14"/>
        <v>1.0885205129847919E-2</v>
      </c>
      <c r="T57" s="11">
        <f t="shared" si="14"/>
        <v>1.0558431040667671E-2</v>
      </c>
      <c r="U57" s="11">
        <f t="shared" si="14"/>
        <v>1.0241164645331091E-2</v>
      </c>
      <c r="V57" s="11">
        <f t="shared" si="14"/>
        <v>9.9331451398304571E-3</v>
      </c>
      <c r="W57" s="11">
        <f t="shared" si="14"/>
        <v>9.6341180113229674E-3</v>
      </c>
      <c r="X57" s="11">
        <f t="shared" si="14"/>
        <v>9.3438349365578821E-3</v>
      </c>
      <c r="Y57" s="11">
        <f t="shared" si="14"/>
        <v>9.0620536786194528E-3</v>
      </c>
      <c r="Z57" s="11">
        <f t="shared" si="14"/>
        <v>8.7885379822895127E-3</v>
      </c>
      <c r="AA57" s="11">
        <f t="shared" si="14"/>
        <v>8.5230574683019533E-3</v>
      </c>
      <c r="AB57" s="11">
        <f t="shared" si="14"/>
        <v>8.2653875267509891E-3</v>
      </c>
      <c r="AC57" s="11">
        <f t="shared" si="14"/>
        <v>8.0153092098894652E-3</v>
      </c>
      <c r="AD57" s="11">
        <f t="shared" si="14"/>
        <v>7.7726091245411411E-3</v>
      </c>
      <c r="AE57" s="11">
        <f t="shared" si="14"/>
        <v>7.5370793243242362E-3</v>
      </c>
      <c r="AF57" s="11">
        <f t="shared" si="14"/>
        <v>7.3085172018785283E-3</v>
      </c>
      <c r="AG57" s="11">
        <f t="shared" si="14"/>
        <v>7.0867253812663122E-3</v>
      </c>
      <c r="AH57" s="11">
        <f t="shared" si="14"/>
        <v>6.8715116107050944E-3</v>
      </c>
      <c r="AI57" s="11">
        <f t="shared" si="14"/>
        <v>6.6626886557766829E-3</v>
      </c>
      <c r="AJ57" s="11">
        <f t="shared" si="14"/>
        <v>6.4600741932444583E-3</v>
      </c>
      <c r="AK57" s="11">
        <f t="shared" si="14"/>
        <v>6.2634907056022815E-3</v>
      </c>
      <c r="AL57" s="11">
        <f t="shared" si="14"/>
        <v>6.0727653764619527E-3</v>
      </c>
      <c r="AM57" s="11">
        <f t="shared" si="14"/>
        <v>5.8877299868773658E-3</v>
      </c>
      <c r="AN57" s="11">
        <f t="shared" si="14"/>
        <v>5.7082208127022804E-3</v>
      </c>
      <c r="AO57" s="11">
        <f t="shared" si="14"/>
        <v>5.5340785230536538E-3</v>
      </c>
      <c r="AP57" s="11">
        <f t="shared" si="14"/>
        <v>5.3651480799611351E-3</v>
      </c>
      <c r="AQ57" s="11">
        <f t="shared" si="14"/>
        <v>5.2012786392622301E-3</v>
      </c>
      <c r="AR57" s="11">
        <f t="shared" si="14"/>
        <v>5.0423234528056415E-3</v>
      </c>
      <c r="AS57" s="11">
        <f t="shared" si="14"/>
        <v>4.8881397720079711E-3</v>
      </c>
      <c r="AT57" s="11">
        <f t="shared" si="14"/>
        <v>4.7385887528150761E-3</v>
      </c>
      <c r="AU57" s="11">
        <f t="shared" si="14"/>
        <v>4.5935353621018304E-3</v>
      </c>
      <c r="AV57" s="11">
        <f t="shared" si="14"/>
        <v>4.4528482855453744E-3</v>
      </c>
      <c r="AW57" s="11">
        <f t="shared" si="14"/>
        <v>4.3163998370006063E-3</v>
      </c>
      <c r="AX57" s="11">
        <f t="shared" si="14"/>
        <v>4.1840658694018984E-3</v>
      </c>
      <c r="AY57" s="11">
        <f t="shared" si="14"/>
        <v>4.0557256872078007E-3</v>
      </c>
      <c r="AZ57" s="11">
        <f t="shared" si="14"/>
        <v>3.9312619604069399E-3</v>
      </c>
    </row>
    <row r="58" spans="1:52" s="16" customFormat="1" ht="13">
      <c r="A58" s="14" t="s">
        <v>22</v>
      </c>
      <c r="B58" s="15">
        <f>1-B46</f>
        <v>2.037929763032631E-3</v>
      </c>
      <c r="C58" s="15">
        <f t="shared" ref="C58:AZ58" si="16">1-C46</f>
        <v>1.9423133953496707E-3</v>
      </c>
      <c r="D58" s="15">
        <f t="shared" si="16"/>
        <v>1.8511790309787557E-3</v>
      </c>
      <c r="E58" s="15">
        <f t="shared" si="16"/>
        <v>1.7643169583250184E-3</v>
      </c>
      <c r="F58" s="15">
        <f t="shared" si="16"/>
        <v>1.6815272431246475E-3</v>
      </c>
      <c r="G58" s="15">
        <f t="shared" si="16"/>
        <v>1.6026192758147317E-3</v>
      </c>
      <c r="H58" s="15">
        <f t="shared" si="16"/>
        <v>1.5274113395596922E-3</v>
      </c>
      <c r="I58" s="15">
        <f t="shared" si="16"/>
        <v>1.4557301980210324E-3</v>
      </c>
      <c r="J58" s="15">
        <f t="shared" si="16"/>
        <v>1.387410701992664E-3</v>
      </c>
      <c r="K58" s="15">
        <f t="shared" si="16"/>
        <v>1.3222954140598153E-3</v>
      </c>
      <c r="L58" s="15">
        <f t="shared" si="16"/>
        <v>1.2602342504777209E-3</v>
      </c>
      <c r="M58" s="15">
        <f t="shared" si="16"/>
        <v>1.2010841394978211E-3</v>
      </c>
      <c r="N58" s="15">
        <f t="shared" si="16"/>
        <v>1.1447086954030627E-3</v>
      </c>
      <c r="O58" s="15">
        <f t="shared" si="16"/>
        <v>1.0909779075457537E-3</v>
      </c>
      <c r="P58" s="15">
        <f t="shared" si="16"/>
        <v>1.039767843710182E-3</v>
      </c>
      <c r="Q58" s="15">
        <f t="shared" si="16"/>
        <v>9.909603671550693E-4</v>
      </c>
      <c r="R58" s="15">
        <f t="shared" si="16"/>
        <v>9.4444286671402367E-4</v>
      </c>
      <c r="S58" s="15">
        <f t="shared" si="16"/>
        <v>9.0010799936290908E-4</v>
      </c>
      <c r="T58" s="15">
        <f t="shared" si="16"/>
        <v>8.578534446882502E-4</v>
      </c>
      <c r="U58" s="15">
        <f t="shared" si="16"/>
        <v>8.1758167071399601E-4</v>
      </c>
      <c r="V58" s="15">
        <f t="shared" si="16"/>
        <v>7.791997105693893E-4</v>
      </c>
      <c r="W58" s="15">
        <f t="shared" si="16"/>
        <v>7.4261894950400364E-4</v>
      </c>
      <c r="X58" s="15">
        <f t="shared" si="16"/>
        <v>7.0775492177499455E-4</v>
      </c>
      <c r="Y58" s="15">
        <f t="shared" si="16"/>
        <v>6.7452711695714651E-4</v>
      </c>
      <c r="Z58" s="15">
        <f t="shared" si="16"/>
        <v>6.4285879524228484E-4</v>
      </c>
      <c r="AA58" s="15">
        <f t="shared" si="16"/>
        <v>6.1267681131582652E-4</v>
      </c>
      <c r="AB58" s="15">
        <f t="shared" si="16"/>
        <v>5.8391144641745107E-4</v>
      </c>
      <c r="AC58" s="15">
        <f t="shared" si="16"/>
        <v>5.5649624820863774E-4</v>
      </c>
      <c r="AD58" s="15">
        <f t="shared" si="16"/>
        <v>5.3036787808780073E-4</v>
      </c>
      <c r="AE58" s="15">
        <f t="shared" si="16"/>
        <v>5.0546596561074075E-4</v>
      </c>
      <c r="AF58" s="15">
        <f t="shared" si="16"/>
        <v>4.8173296968767598E-4</v>
      </c>
      <c r="AG58" s="15">
        <f t="shared" si="16"/>
        <v>4.5911404624499053E-4</v>
      </c>
      <c r="AH58" s="15">
        <f t="shared" si="16"/>
        <v>4.375569220523845E-4</v>
      </c>
      <c r="AI58" s="15">
        <f t="shared" si="16"/>
        <v>4.1701177443076443E-4</v>
      </c>
      <c r="AJ58" s="15">
        <f t="shared" si="16"/>
        <v>3.9743111656886931E-4</v>
      </c>
      <c r="AK58" s="15">
        <f t="shared" si="16"/>
        <v>3.7876968818895129E-4</v>
      </c>
      <c r="AL58" s="15">
        <f t="shared" si="16"/>
        <v>3.6098435131282081E-4</v>
      </c>
      <c r="AM58" s="15">
        <f t="shared" si="16"/>
        <v>3.4403399089377729E-4</v>
      </c>
      <c r="AN58" s="15">
        <f t="shared" si="16"/>
        <v>3.2787942008627446E-4</v>
      </c>
      <c r="AO58" s="15">
        <f t="shared" si="16"/>
        <v>3.1248328994026853E-4</v>
      </c>
      <c r="AP58" s="15">
        <f t="shared" si="16"/>
        <v>2.9781000331308149E-4</v>
      </c>
      <c r="AQ58" s="15">
        <f t="shared" si="16"/>
        <v>2.8382563280382467E-4</v>
      </c>
      <c r="AR58" s="15">
        <f t="shared" si="16"/>
        <v>2.7049784252275444E-4</v>
      </c>
      <c r="AS58" s="15">
        <f t="shared" si="16"/>
        <v>2.5779581351814684E-4</v>
      </c>
      <c r="AT58" s="15">
        <f t="shared" si="16"/>
        <v>2.4569017268882831E-4</v>
      </c>
      <c r="AU58" s="15">
        <f t="shared" si="16"/>
        <v>2.3415292502193541E-4</v>
      </c>
      <c r="AV58" s="15">
        <f t="shared" si="16"/>
        <v>2.2315738899991722E-4</v>
      </c>
      <c r="AW58" s="15">
        <f t="shared" si="16"/>
        <v>2.1267813502900967E-4</v>
      </c>
      <c r="AX58" s="15">
        <f t="shared" si="16"/>
        <v>2.0269092674929379E-4</v>
      </c>
      <c r="AY58" s="15">
        <f t="shared" si="16"/>
        <v>1.9317266509144559E-4</v>
      </c>
      <c r="AZ58" s="15">
        <f t="shared" si="16"/>
        <v>1.8410133495139203E-4</v>
      </c>
    </row>
    <row r="60" spans="1:52" s="6" customFormat="1">
      <c r="A60" s="5" t="s">
        <v>46</v>
      </c>
    </row>
    <row r="61" spans="1:52">
      <c r="A61" s="1" t="s">
        <v>45</v>
      </c>
    </row>
    <row r="63" spans="1:52" ht="13">
      <c r="A63" s="9" t="s">
        <v>23</v>
      </c>
      <c r="B63" s="10">
        <v>2020</v>
      </c>
      <c r="C63" s="10">
        <v>2021</v>
      </c>
      <c r="D63" s="10">
        <v>2022</v>
      </c>
      <c r="E63" s="10">
        <v>2023</v>
      </c>
      <c r="F63" s="10">
        <v>2024</v>
      </c>
      <c r="G63" s="10">
        <v>2025</v>
      </c>
      <c r="H63" s="10">
        <v>2026</v>
      </c>
      <c r="I63" s="10">
        <v>2027</v>
      </c>
      <c r="J63" s="10">
        <v>2028</v>
      </c>
      <c r="K63" s="10">
        <v>2029</v>
      </c>
      <c r="L63" s="10">
        <v>2030</v>
      </c>
      <c r="M63" s="10">
        <v>2031</v>
      </c>
      <c r="N63" s="10">
        <v>2032</v>
      </c>
      <c r="O63" s="10">
        <v>2033</v>
      </c>
      <c r="P63" s="10">
        <v>2034</v>
      </c>
      <c r="Q63" s="10">
        <v>2035</v>
      </c>
      <c r="R63" s="10">
        <v>2036</v>
      </c>
      <c r="S63" s="10">
        <v>2037</v>
      </c>
      <c r="T63" s="10">
        <v>2038</v>
      </c>
      <c r="U63" s="10">
        <v>2039</v>
      </c>
      <c r="V63" s="10">
        <v>2040</v>
      </c>
      <c r="W63" s="10">
        <v>2041</v>
      </c>
      <c r="X63" s="10">
        <v>2042</v>
      </c>
      <c r="Y63" s="10">
        <v>2043</v>
      </c>
      <c r="Z63" s="10">
        <v>2044</v>
      </c>
      <c r="AA63" s="10">
        <v>2045</v>
      </c>
      <c r="AB63" s="10">
        <v>2046</v>
      </c>
      <c r="AC63" s="10">
        <v>2047</v>
      </c>
      <c r="AD63" s="10">
        <v>2048</v>
      </c>
      <c r="AE63" s="10">
        <v>2049</v>
      </c>
      <c r="AF63" s="10">
        <v>2050</v>
      </c>
      <c r="AG63" s="10">
        <v>2051</v>
      </c>
      <c r="AH63" s="10">
        <v>2052</v>
      </c>
      <c r="AI63" s="10">
        <v>2053</v>
      </c>
      <c r="AJ63" s="10">
        <v>2054</v>
      </c>
      <c r="AK63" s="10">
        <v>2055</v>
      </c>
      <c r="AL63" s="10">
        <v>2056</v>
      </c>
      <c r="AM63" s="10">
        <v>2057</v>
      </c>
      <c r="AN63" s="10">
        <v>2058</v>
      </c>
      <c r="AO63" s="10">
        <v>2059</v>
      </c>
      <c r="AP63" s="10">
        <v>2060</v>
      </c>
      <c r="AQ63" s="10">
        <v>2061</v>
      </c>
      <c r="AR63" s="10">
        <v>2062</v>
      </c>
      <c r="AS63" s="10">
        <v>2063</v>
      </c>
      <c r="AT63" s="10">
        <v>2064</v>
      </c>
      <c r="AU63" s="10">
        <v>2065</v>
      </c>
      <c r="AV63" s="10">
        <v>2066</v>
      </c>
      <c r="AW63" s="10">
        <v>2067</v>
      </c>
      <c r="AX63" s="10">
        <v>2068</v>
      </c>
      <c r="AY63" s="10">
        <v>2069</v>
      </c>
      <c r="AZ63" s="10">
        <v>2070</v>
      </c>
    </row>
    <row r="64" spans="1:52" ht="13">
      <c r="A64" s="9" t="s">
        <v>16</v>
      </c>
      <c r="B64" s="11">
        <f>B52*B$21/5</f>
        <v>5.8624066578103262E-2</v>
      </c>
      <c r="C64" s="11">
        <f t="shared" ref="C64:AZ69" si="17">C52*C$21/5</f>
        <v>5.7387335469238333E-2</v>
      </c>
      <c r="D64" s="11">
        <f t="shared" si="17"/>
        <v>5.6356518185627438E-2</v>
      </c>
      <c r="E64" s="11">
        <f t="shared" si="17"/>
        <v>5.5632477275654867E-2</v>
      </c>
      <c r="F64" s="11">
        <f t="shared" si="17"/>
        <v>5.499647939320873E-2</v>
      </c>
      <c r="G64" s="11">
        <f t="shared" si="17"/>
        <v>5.4275578066412741E-2</v>
      </c>
      <c r="H64" s="11">
        <f t="shared" si="17"/>
        <v>5.3501817757443816E-2</v>
      </c>
      <c r="I64" s="11">
        <f t="shared" si="17"/>
        <v>5.278872638768696E-2</v>
      </c>
      <c r="J64" s="11">
        <f t="shared" si="17"/>
        <v>5.2177827403628738E-2</v>
      </c>
      <c r="K64" s="11">
        <f t="shared" si="17"/>
        <v>5.1630182699152163E-2</v>
      </c>
      <c r="L64" s="11">
        <f t="shared" si="17"/>
        <v>5.1102014128250675E-2</v>
      </c>
      <c r="M64" s="11">
        <f t="shared" si="17"/>
        <v>5.0589954996270795E-2</v>
      </c>
      <c r="N64" s="11">
        <f t="shared" si="17"/>
        <v>5.011428864116494E-2</v>
      </c>
      <c r="O64" s="11">
        <f t="shared" si="17"/>
        <v>4.9685660706281012E-2</v>
      </c>
      <c r="P64" s="11">
        <f t="shared" si="17"/>
        <v>4.929709733165602E-2</v>
      </c>
      <c r="Q64" s="11">
        <f t="shared" si="17"/>
        <v>4.8937427129830076E-2</v>
      </c>
      <c r="R64" s="11">
        <f t="shared" si="17"/>
        <v>4.8602564019314218E-2</v>
      </c>
      <c r="S64" s="11">
        <f t="shared" si="17"/>
        <v>4.829436664173907E-2</v>
      </c>
      <c r="T64" s="11">
        <f t="shared" si="17"/>
        <v>4.8014078380612481E-2</v>
      </c>
      <c r="U64" s="11">
        <f t="shared" si="17"/>
        <v>4.7759551877527409E-2</v>
      </c>
      <c r="V64" s="11">
        <f t="shared" si="17"/>
        <v>4.7527261921979376E-2</v>
      </c>
      <c r="W64" s="11">
        <f t="shared" si="17"/>
        <v>4.7314816806288844E-2</v>
      </c>
      <c r="X64" s="11">
        <f t="shared" si="17"/>
        <v>4.7121221921169819E-2</v>
      </c>
      <c r="Y64" s="11">
        <f t="shared" si="17"/>
        <v>4.6945704012776722E-2</v>
      </c>
      <c r="Z64" s="11">
        <f t="shared" si="17"/>
        <v>4.6786963452931582E-2</v>
      </c>
      <c r="AA64" s="11">
        <f t="shared" si="17"/>
        <v>4.6643398822657736E-2</v>
      </c>
      <c r="AB64" s="11">
        <f t="shared" si="17"/>
        <v>4.6513611925029827E-2</v>
      </c>
      <c r="AC64" s="11">
        <f t="shared" si="17"/>
        <v>4.6396551490891856E-2</v>
      </c>
      <c r="AD64" s="11">
        <f t="shared" si="17"/>
        <v>4.6291321850473147E-2</v>
      </c>
      <c r="AE64" s="11">
        <f t="shared" si="17"/>
        <v>4.6197005028437398E-2</v>
      </c>
      <c r="AF64" s="11">
        <f t="shared" si="17"/>
        <v>4.6112663818988972E-2</v>
      </c>
      <c r="AG64" s="11">
        <f t="shared" si="17"/>
        <v>4.6037431787809772E-2</v>
      </c>
      <c r="AH64" s="11">
        <f t="shared" si="17"/>
        <v>4.5970554459651404E-2</v>
      </c>
      <c r="AI64" s="11">
        <f t="shared" si="17"/>
        <v>4.5911359986930675E-2</v>
      </c>
      <c r="AJ64" s="11">
        <f t="shared" si="17"/>
        <v>4.5859218536536614E-2</v>
      </c>
      <c r="AK64" s="11">
        <f t="shared" si="17"/>
        <v>4.581353250445603E-2</v>
      </c>
      <c r="AL64" s="11">
        <f t="shared" si="17"/>
        <v>4.5773748755474256E-2</v>
      </c>
      <c r="AM64" s="11">
        <f t="shared" si="17"/>
        <v>4.5739366510494428E-2</v>
      </c>
      <c r="AN64" s="11">
        <f t="shared" si="17"/>
        <v>4.5709931737677657E-2</v>
      </c>
      <c r="AO64" s="11">
        <f t="shared" si="17"/>
        <v>4.5685026962305988E-2</v>
      </c>
      <c r="AP64" s="11">
        <f t="shared" si="17"/>
        <v>4.5664265870004515E-2</v>
      </c>
      <c r="AQ64" s="11">
        <f t="shared" si="17"/>
        <v>4.5647292961810415E-2</v>
      </c>
      <c r="AR64" s="11">
        <f t="shared" si="17"/>
        <v>4.5633783540289984E-2</v>
      </c>
      <c r="AS64" s="11">
        <f t="shared" si="17"/>
        <v>4.5623441432298344E-2</v>
      </c>
      <c r="AT64" s="11">
        <f t="shared" si="17"/>
        <v>4.5615995534479967E-2</v>
      </c>
      <c r="AU64" s="11">
        <f t="shared" si="17"/>
        <v>4.5611197080655523E-2</v>
      </c>
      <c r="AV64" s="11">
        <f t="shared" si="17"/>
        <v>4.5608818048902308E-2</v>
      </c>
      <c r="AW64" s="11">
        <f t="shared" si="17"/>
        <v>4.560864993502068E-2</v>
      </c>
      <c r="AX64" s="11">
        <f t="shared" si="17"/>
        <v>4.5610502265493999E-2</v>
      </c>
      <c r="AY64" s="11">
        <f t="shared" si="17"/>
        <v>4.5614200914942088E-2</v>
      </c>
      <c r="AZ64" s="11">
        <f t="shared" si="17"/>
        <v>4.561958657746177E-2</v>
      </c>
    </row>
    <row r="65" spans="1:82" ht="13">
      <c r="A65" s="9" t="s">
        <v>17</v>
      </c>
      <c r="B65" s="11">
        <f t="shared" ref="B65:Q70" si="18">B53*B$21/5</f>
        <v>0.12760170998800766</v>
      </c>
      <c r="C65" s="11">
        <f t="shared" si="18"/>
        <v>0.12574623459509518</v>
      </c>
      <c r="D65" s="11">
        <f t="shared" si="18"/>
        <v>0.12430651389426524</v>
      </c>
      <c r="E65" s="11">
        <f t="shared" si="18"/>
        <v>0.12351556724128158</v>
      </c>
      <c r="F65" s="11">
        <f t="shared" si="18"/>
        <v>0.12289800567383773</v>
      </c>
      <c r="G65" s="11">
        <f t="shared" si="18"/>
        <v>0.12206873797854019</v>
      </c>
      <c r="H65" s="11">
        <f t="shared" si="18"/>
        <v>0.12109669755776227</v>
      </c>
      <c r="I65" s="11">
        <f t="shared" si="18"/>
        <v>0.12023827370179878</v>
      </c>
      <c r="J65" s="11">
        <f t="shared" si="18"/>
        <v>0.11959131719303753</v>
      </c>
      <c r="K65" s="11">
        <f t="shared" si="18"/>
        <v>0.11907046441543478</v>
      </c>
      <c r="L65" s="11">
        <f t="shared" si="18"/>
        <v>0.11857688621404409</v>
      </c>
      <c r="M65" s="11">
        <f t="shared" si="18"/>
        <v>0.1181036042934768</v>
      </c>
      <c r="N65" s="11">
        <f t="shared" si="18"/>
        <v>0.11769899118549507</v>
      </c>
      <c r="O65" s="11">
        <f t="shared" si="18"/>
        <v>0.11738978447821</v>
      </c>
      <c r="P65" s="11">
        <f t="shared" si="18"/>
        <v>0.11716143308309998</v>
      </c>
      <c r="Q65" s="11">
        <f t="shared" si="18"/>
        <v>0.11698895002637696</v>
      </c>
      <c r="R65" s="11">
        <f t="shared" si="17"/>
        <v>0.11686375330995653</v>
      </c>
      <c r="S65" s="11">
        <f t="shared" si="17"/>
        <v>0.11679140339032328</v>
      </c>
      <c r="T65" s="11">
        <f t="shared" si="17"/>
        <v>0.11677606050355407</v>
      </c>
      <c r="U65" s="11">
        <f t="shared" si="17"/>
        <v>0.11681365289053466</v>
      </c>
      <c r="V65" s="11">
        <f t="shared" si="17"/>
        <v>0.11689659467089004</v>
      </c>
      <c r="W65" s="11">
        <f t="shared" si="17"/>
        <v>0.11701990390297146</v>
      </c>
      <c r="X65" s="11">
        <f t="shared" si="17"/>
        <v>0.11718193684519343</v>
      </c>
      <c r="Y65" s="11">
        <f t="shared" si="17"/>
        <v>0.11738154393981874</v>
      </c>
      <c r="Z65" s="11">
        <f t="shared" si="17"/>
        <v>0.11761620549437042</v>
      </c>
      <c r="AA65" s="11">
        <f t="shared" si="17"/>
        <v>0.11788256421115106</v>
      </c>
      <c r="AB65" s="11">
        <f t="shared" si="17"/>
        <v>0.11817768866925218</v>
      </c>
      <c r="AC65" s="11">
        <f t="shared" si="17"/>
        <v>0.11849945468694648</v>
      </c>
      <c r="AD65" s="11">
        <f t="shared" si="17"/>
        <v>0.11884607784895587</v>
      </c>
      <c r="AE65" s="11">
        <f t="shared" si="17"/>
        <v>0.11921566521146069</v>
      </c>
      <c r="AF65" s="11">
        <f t="shared" si="17"/>
        <v>0.11960622223594919</v>
      </c>
      <c r="AG65" s="11">
        <f t="shared" si="17"/>
        <v>0.12001588659997568</v>
      </c>
      <c r="AH65" s="11">
        <f t="shared" si="17"/>
        <v>0.12044304120073368</v>
      </c>
      <c r="AI65" s="11">
        <f t="shared" si="17"/>
        <v>0.12088624464929318</v>
      </c>
      <c r="AJ65" s="11">
        <f t="shared" si="17"/>
        <v>0.12134412954471116</v>
      </c>
      <c r="AK65" s="11">
        <f t="shared" si="17"/>
        <v>0.12181537950593797</v>
      </c>
      <c r="AL65" s="11">
        <f t="shared" si="17"/>
        <v>0.12229876426479494</v>
      </c>
      <c r="AM65" s="11">
        <f t="shared" si="17"/>
        <v>0.12279316399308091</v>
      </c>
      <c r="AN65" s="11">
        <f t="shared" si="17"/>
        <v>0.12329755779627571</v>
      </c>
      <c r="AO65" s="11">
        <f t="shared" si="17"/>
        <v>0.12381099932405112</v>
      </c>
      <c r="AP65" s="11">
        <f t="shared" si="17"/>
        <v>0.12433260462249551</v>
      </c>
      <c r="AQ65" s="11">
        <f t="shared" si="17"/>
        <v>0.12486155336918628</v>
      </c>
      <c r="AR65" s="11">
        <f t="shared" si="17"/>
        <v>0.12539709096830803</v>
      </c>
      <c r="AS65" s="11">
        <f t="shared" si="17"/>
        <v>0.12593852437335701</v>
      </c>
      <c r="AT65" s="11">
        <f t="shared" si="17"/>
        <v>0.12648521445165994</v>
      </c>
      <c r="AU65" s="11">
        <f t="shared" si="17"/>
        <v>0.12703657008064689</v>
      </c>
      <c r="AV65" s="11">
        <f t="shared" si="17"/>
        <v>0.12759204521074735</v>
      </c>
      <c r="AW65" s="11">
        <f t="shared" si="17"/>
        <v>0.12815113682296797</v>
      </c>
      <c r="AX65" s="11">
        <f t="shared" si="17"/>
        <v>0.12871338204503194</v>
      </c>
      <c r="AY65" s="11">
        <f t="shared" si="17"/>
        <v>0.1292783545894711</v>
      </c>
      <c r="AZ65" s="11">
        <f t="shared" si="17"/>
        <v>0.12984566149315596</v>
      </c>
    </row>
    <row r="66" spans="1:82" ht="13">
      <c r="A66" s="9" t="s">
        <v>18</v>
      </c>
      <c r="B66" s="11">
        <f t="shared" si="18"/>
        <v>0.10784149787275861</v>
      </c>
      <c r="C66" s="11">
        <f t="shared" si="17"/>
        <v>0.10571850463143613</v>
      </c>
      <c r="D66" s="11">
        <f t="shared" si="17"/>
        <v>0.1039598784133593</v>
      </c>
      <c r="E66" s="11">
        <f t="shared" si="17"/>
        <v>0.10275402395111841</v>
      </c>
      <c r="F66" s="11">
        <f t="shared" si="17"/>
        <v>0.10169903095455327</v>
      </c>
      <c r="G66" s="11">
        <f t="shared" si="17"/>
        <v>0.1004756915381356</v>
      </c>
      <c r="H66" s="11">
        <f t="shared" si="17"/>
        <v>9.914328566424703E-2</v>
      </c>
      <c r="I66" s="11">
        <f t="shared" si="17"/>
        <v>9.7912523062280432E-2</v>
      </c>
      <c r="J66" s="11">
        <f t="shared" si="17"/>
        <v>9.686120232794948E-2</v>
      </c>
      <c r="K66" s="11">
        <f t="shared" si="17"/>
        <v>9.5917819185178763E-2</v>
      </c>
      <c r="L66" s="11">
        <f t="shared" si="17"/>
        <v>9.5001579423685034E-2</v>
      </c>
      <c r="M66" s="11">
        <f t="shared" si="17"/>
        <v>9.4106605873943414E-2</v>
      </c>
      <c r="N66" s="11">
        <f t="shared" si="17"/>
        <v>9.3271005019726724E-2</v>
      </c>
      <c r="O66" s="11">
        <f t="shared" si="17"/>
        <v>9.2514989411615081E-2</v>
      </c>
      <c r="P66" s="11">
        <f t="shared" si="17"/>
        <v>9.1825947861502194E-2</v>
      </c>
      <c r="Q66" s="11">
        <f t="shared" si="17"/>
        <v>9.1183390510334222E-2</v>
      </c>
      <c r="R66" s="11">
        <f t="shared" si="17"/>
        <v>9.0579977929023225E-2</v>
      </c>
      <c r="S66" s="11">
        <f t="shared" si="17"/>
        <v>9.0019421031345012E-2</v>
      </c>
      <c r="T66" s="11">
        <f t="shared" si="17"/>
        <v>8.9504262871150569E-2</v>
      </c>
      <c r="U66" s="11">
        <f t="shared" si="17"/>
        <v>8.9030702568928019E-2</v>
      </c>
      <c r="V66" s="11">
        <f t="shared" si="17"/>
        <v>8.8592348063703169E-2</v>
      </c>
      <c r="W66" s="11">
        <f t="shared" si="17"/>
        <v>8.8184901614870387E-2</v>
      </c>
      <c r="X66" s="11">
        <f t="shared" si="17"/>
        <v>8.7806653789898131E-2</v>
      </c>
      <c r="Y66" s="11">
        <f t="shared" si="17"/>
        <v>8.7456293028131821E-2</v>
      </c>
      <c r="Z66" s="11">
        <f t="shared" si="17"/>
        <v>8.7131513985750322E-2</v>
      </c>
      <c r="AA66" s="11">
        <f t="shared" si="17"/>
        <v>8.6829438798925504E-2</v>
      </c>
      <c r="AB66" s="11">
        <f t="shared" si="17"/>
        <v>8.6547559909661481E-2</v>
      </c>
      <c r="AC66" s="11">
        <f t="shared" si="17"/>
        <v>8.6284008481502125E-2</v>
      </c>
      <c r="AD66" s="11">
        <f t="shared" si="17"/>
        <v>8.603719875637976E-2</v>
      </c>
      <c r="AE66" s="11">
        <f t="shared" si="17"/>
        <v>8.5805498093805194E-2</v>
      </c>
      <c r="AF66" s="11">
        <f t="shared" si="17"/>
        <v>8.5587234041750532E-2</v>
      </c>
      <c r="AG66" s="11">
        <f t="shared" si="17"/>
        <v>8.5380862604829466E-2</v>
      </c>
      <c r="AH66" s="11">
        <f t="shared" si="17"/>
        <v>8.5185045217930161E-2</v>
      </c>
      <c r="AI66" s="11">
        <f t="shared" si="17"/>
        <v>8.4998594603706332E-2</v>
      </c>
      <c r="AJ66" s="11">
        <f t="shared" si="17"/>
        <v>8.4820399866939206E-2</v>
      </c>
      <c r="AK66" s="11">
        <f t="shared" si="17"/>
        <v>8.4649408852777219E-2</v>
      </c>
      <c r="AL66" s="11">
        <f t="shared" si="17"/>
        <v>8.4484651186143719E-2</v>
      </c>
      <c r="AM66" s="11">
        <f t="shared" si="17"/>
        <v>8.4325253063062072E-2</v>
      </c>
      <c r="AN66" s="11">
        <f t="shared" si="17"/>
        <v>8.4170426998984568E-2</v>
      </c>
      <c r="AO66" s="11">
        <f t="shared" si="17"/>
        <v>8.4019453132716374E-2</v>
      </c>
      <c r="AP66" s="11">
        <f t="shared" si="17"/>
        <v>8.3871669395911702E-2</v>
      </c>
      <c r="AQ66" s="11">
        <f t="shared" si="17"/>
        <v>8.3726470961988181E-2</v>
      </c>
      <c r="AR66" s="11">
        <f t="shared" si="17"/>
        <v>8.3583310248979303E-2</v>
      </c>
      <c r="AS66" s="11">
        <f t="shared" si="17"/>
        <v>8.3441692727583353E-2</v>
      </c>
      <c r="AT66" s="11">
        <f t="shared" si="17"/>
        <v>8.330117056355367E-2</v>
      </c>
      <c r="AU66" s="11">
        <f t="shared" si="17"/>
        <v>8.3161337586874579E-2</v>
      </c>
      <c r="AV66" s="11">
        <f t="shared" si="17"/>
        <v>8.3021826341371133E-2</v>
      </c>
      <c r="AW66" s="11">
        <f t="shared" si="17"/>
        <v>8.2882305791582775E-2</v>
      </c>
      <c r="AX66" s="11">
        <f t="shared" si="17"/>
        <v>8.2742478545713136E-2</v>
      </c>
      <c r="AY66" s="11">
        <f t="shared" si="17"/>
        <v>8.2602077721615375E-2</v>
      </c>
      <c r="AZ66" s="11">
        <f t="shared" si="17"/>
        <v>8.2460864095561678E-2</v>
      </c>
    </row>
    <row r="67" spans="1:82" ht="13">
      <c r="A67" s="9" t="s">
        <v>19</v>
      </c>
      <c r="B67" s="11">
        <f t="shared" si="18"/>
        <v>6.6025928367103803E-2</v>
      </c>
      <c r="C67" s="11">
        <f t="shared" si="17"/>
        <v>6.4182135256837192E-2</v>
      </c>
      <c r="D67" s="11">
        <f t="shared" si="17"/>
        <v>6.2583918830455235E-2</v>
      </c>
      <c r="E67" s="11">
        <f t="shared" si="17"/>
        <v>6.1337927495683363E-2</v>
      </c>
      <c r="F67" s="11">
        <f t="shared" si="17"/>
        <v>6.0197699896212008E-2</v>
      </c>
      <c r="G67" s="11">
        <f t="shared" si="17"/>
        <v>5.8973457290354955E-2</v>
      </c>
      <c r="H67" s="11">
        <f t="shared" si="17"/>
        <v>5.7702043494075483E-2</v>
      </c>
      <c r="I67" s="11">
        <f t="shared" si="17"/>
        <v>5.6506491913120696E-2</v>
      </c>
      <c r="J67" s="11">
        <f t="shared" si="17"/>
        <v>5.5429659117037913E-2</v>
      </c>
      <c r="K67" s="11">
        <f t="shared" si="17"/>
        <v>5.4428208182810231E-2</v>
      </c>
      <c r="L67" s="11">
        <f t="shared" si="17"/>
        <v>5.3454984079864376E-2</v>
      </c>
      <c r="M67" s="11">
        <f t="shared" si="17"/>
        <v>5.2506186843908662E-2</v>
      </c>
      <c r="N67" s="11">
        <f t="shared" si="17"/>
        <v>5.1602467758085899E-2</v>
      </c>
      <c r="O67" s="11">
        <f t="shared" si="17"/>
        <v>5.0753958055051084E-2</v>
      </c>
      <c r="P67" s="11">
        <f t="shared" si="17"/>
        <v>4.9952574940690657E-2</v>
      </c>
      <c r="Q67" s="11">
        <f t="shared" si="17"/>
        <v>4.9186235590810298E-2</v>
      </c>
      <c r="R67" s="11">
        <f t="shared" si="17"/>
        <v>4.8450278789351833E-2</v>
      </c>
      <c r="S67" s="11">
        <f t="shared" si="17"/>
        <v>4.7746047517142204E-2</v>
      </c>
      <c r="T67" s="11">
        <f t="shared" si="17"/>
        <v>4.7074213871969382E-2</v>
      </c>
      <c r="U67" s="11">
        <f t="shared" si="17"/>
        <v>4.6432106746731774E-2</v>
      </c>
      <c r="V67" s="11">
        <f t="shared" si="17"/>
        <v>4.5815792289851054E-2</v>
      </c>
      <c r="W67" s="11">
        <f t="shared" si="17"/>
        <v>4.5222531365687345E-2</v>
      </c>
      <c r="X67" s="11">
        <f t="shared" si="17"/>
        <v>4.4650983221058371E-2</v>
      </c>
      <c r="Y67" s="11">
        <f t="shared" si="17"/>
        <v>4.4100044104866939E-2</v>
      </c>
      <c r="Z67" s="11">
        <f t="shared" si="17"/>
        <v>4.3568142300363918E-2</v>
      </c>
      <c r="AA67" s="11">
        <f t="shared" si="17"/>
        <v>4.3053467270745119E-2</v>
      </c>
      <c r="AB67" s="11">
        <f t="shared" si="17"/>
        <v>4.2554444214393798E-2</v>
      </c>
      <c r="AC67" s="11">
        <f t="shared" si="17"/>
        <v>4.2069856216496178E-2</v>
      </c>
      <c r="AD67" s="11">
        <f t="shared" si="17"/>
        <v>4.1598658318749648E-2</v>
      </c>
      <c r="AE67" s="11">
        <f t="shared" si="17"/>
        <v>4.1139812885271743E-2</v>
      </c>
      <c r="AF67" s="11">
        <f t="shared" si="17"/>
        <v>4.0692293301699947E-2</v>
      </c>
      <c r="AG67" s="11">
        <f t="shared" si="17"/>
        <v>4.0255163489264785E-2</v>
      </c>
      <c r="AH67" s="11">
        <f t="shared" si="17"/>
        <v>3.9827610748509559E-2</v>
      </c>
      <c r="AI67" s="11">
        <f t="shared" si="17"/>
        <v>3.9408916086391847E-2</v>
      </c>
      <c r="AJ67" s="11">
        <f t="shared" si="17"/>
        <v>3.8998416367357507E-2</v>
      </c>
      <c r="AK67" s="11">
        <f t="shared" si="17"/>
        <v>3.859549438021375E-2</v>
      </c>
      <c r="AL67" s="11">
        <f t="shared" si="17"/>
        <v>3.8199587745807589E-2</v>
      </c>
      <c r="AM67" s="11">
        <f t="shared" si="17"/>
        <v>3.7810193641524388E-2</v>
      </c>
      <c r="AN67" s="11">
        <f t="shared" si="17"/>
        <v>3.7426862105730832E-2</v>
      </c>
      <c r="AO67" s="11">
        <f t="shared" si="17"/>
        <v>3.7049185899007846E-2</v>
      </c>
      <c r="AP67" s="11">
        <f t="shared" si="17"/>
        <v>3.6676794700281769E-2</v>
      </c>
      <c r="AQ67" s="11">
        <f t="shared" si="17"/>
        <v>3.6309353578351286E-2</v>
      </c>
      <c r="AR67" s="11">
        <f t="shared" si="17"/>
        <v>3.5946561745226334E-2</v>
      </c>
      <c r="AS67" s="11">
        <f t="shared" si="17"/>
        <v>3.5588149551181648E-2</v>
      </c>
      <c r="AT67" s="11">
        <f t="shared" si="17"/>
        <v>3.523387468302544E-2</v>
      </c>
      <c r="AU67" s="11">
        <f t="shared" si="17"/>
        <v>3.4883519080301378E-2</v>
      </c>
      <c r="AV67" s="11">
        <f t="shared" si="17"/>
        <v>3.4536886846022484E-2</v>
      </c>
      <c r="AW67" s="11">
        <f t="shared" si="17"/>
        <v>3.4193802510976597E-2</v>
      </c>
      <c r="AX67" s="11">
        <f t="shared" si="17"/>
        <v>3.3854109166709591E-2</v>
      </c>
      <c r="AY67" s="11">
        <f t="shared" si="17"/>
        <v>3.351766652830071E-2</v>
      </c>
      <c r="AZ67" s="11">
        <f t="shared" si="17"/>
        <v>3.318434919064063E-2</v>
      </c>
    </row>
    <row r="68" spans="1:82" ht="13">
      <c r="A68" s="9" t="s">
        <v>20</v>
      </c>
      <c r="B68" s="11">
        <f t="shared" si="18"/>
        <v>2.8971995521692356E-2</v>
      </c>
      <c r="C68" s="11">
        <f t="shared" si="17"/>
        <v>2.7872579940496283E-2</v>
      </c>
      <c r="D68" s="11">
        <f t="shared" si="17"/>
        <v>2.6898830581641092E-2</v>
      </c>
      <c r="E68" s="11">
        <f t="shared" si="17"/>
        <v>2.6092511647845186E-2</v>
      </c>
      <c r="F68" s="11">
        <f t="shared" si="17"/>
        <v>2.5344942747728381E-2</v>
      </c>
      <c r="G68" s="11">
        <f t="shared" si="17"/>
        <v>2.4575428538702947E-2</v>
      </c>
      <c r="H68" s="11">
        <f t="shared" si="17"/>
        <v>2.3800015526013369E-2</v>
      </c>
      <c r="I68" s="11">
        <f t="shared" si="17"/>
        <v>2.3069296186660766E-2</v>
      </c>
      <c r="J68" s="11">
        <f t="shared" si="17"/>
        <v>2.2399408455102462E-2</v>
      </c>
      <c r="K68" s="11">
        <f t="shared" si="17"/>
        <v>2.1771336091541502E-2</v>
      </c>
      <c r="L68" s="11">
        <f t="shared" si="17"/>
        <v>2.1165292941277117E-2</v>
      </c>
      <c r="M68" s="11">
        <f t="shared" si="17"/>
        <v>2.0579266535410042E-2</v>
      </c>
      <c r="N68" s="11">
        <f t="shared" si="17"/>
        <v>2.0020802530307732E-2</v>
      </c>
      <c r="O68" s="11">
        <f t="shared" si="17"/>
        <v>1.9493093080028716E-2</v>
      </c>
      <c r="P68" s="11">
        <f t="shared" si="17"/>
        <v>1.8992264230502095E-2</v>
      </c>
      <c r="Q68" s="11">
        <f t="shared" si="17"/>
        <v>1.8513077961389422E-2</v>
      </c>
      <c r="R68" s="11">
        <f t="shared" si="17"/>
        <v>1.8053259456453374E-2</v>
      </c>
      <c r="S68" s="11">
        <f t="shared" si="17"/>
        <v>1.7612830145279541E-2</v>
      </c>
      <c r="T68" s="11">
        <f t="shared" si="17"/>
        <v>1.7191557034770377E-2</v>
      </c>
      <c r="U68" s="11">
        <f t="shared" si="17"/>
        <v>1.6787999078187562E-2</v>
      </c>
      <c r="V68" s="11">
        <f t="shared" si="17"/>
        <v>1.6400312108849929E-2</v>
      </c>
      <c r="W68" s="11">
        <f t="shared" si="17"/>
        <v>1.6027140874566158E-2</v>
      </c>
      <c r="X68" s="11">
        <f t="shared" si="17"/>
        <v>1.5667667664035736E-2</v>
      </c>
      <c r="Y68" s="11">
        <f t="shared" si="17"/>
        <v>1.5321183232104397E-2</v>
      </c>
      <c r="Z68" s="11">
        <f t="shared" si="17"/>
        <v>1.4986839528648047E-2</v>
      </c>
      <c r="AA68" s="11">
        <f t="shared" si="17"/>
        <v>1.4663735090749714E-2</v>
      </c>
      <c r="AB68" s="11">
        <f t="shared" si="17"/>
        <v>1.4351078325088747E-2</v>
      </c>
      <c r="AC68" s="11">
        <f t="shared" si="17"/>
        <v>1.404822355719516E-2</v>
      </c>
      <c r="AD68" s="11">
        <f t="shared" si="17"/>
        <v>1.3754602969903764E-2</v>
      </c>
      <c r="AE68" s="11">
        <f t="shared" si="17"/>
        <v>1.3469669348768356E-2</v>
      </c>
      <c r="AF68" s="11">
        <f t="shared" si="17"/>
        <v>1.3192896675719009E-2</v>
      </c>
      <c r="AG68" s="11">
        <f t="shared" si="17"/>
        <v>1.2923805009338252E-2</v>
      </c>
      <c r="AH68" s="11">
        <f t="shared" si="17"/>
        <v>1.2661969053762243E-2</v>
      </c>
      <c r="AI68" s="11">
        <f t="shared" si="17"/>
        <v>1.240700649677039E-2</v>
      </c>
      <c r="AJ68" s="11">
        <f t="shared" si="17"/>
        <v>1.2158564419030153E-2</v>
      </c>
      <c r="AK68" s="11">
        <f t="shared" si="17"/>
        <v>1.1916315066722786E-2</v>
      </c>
      <c r="AL68" s="11">
        <f t="shared" si="17"/>
        <v>1.1679957599898694E-2</v>
      </c>
      <c r="AM68" s="11">
        <f t="shared" si="17"/>
        <v>1.1449218447005699E-2</v>
      </c>
      <c r="AN68" s="11">
        <f t="shared" si="17"/>
        <v>1.1223848186186765E-2</v>
      </c>
      <c r="AO68" s="11">
        <f t="shared" si="17"/>
        <v>1.1003617555516133E-2</v>
      </c>
      <c r="AP68" s="11">
        <f t="shared" si="17"/>
        <v>1.0788314943226619E-2</v>
      </c>
      <c r="AQ68" s="11">
        <f t="shared" si="17"/>
        <v>1.0577745247167234E-2</v>
      </c>
      <c r="AR68" s="11">
        <f t="shared" si="17"/>
        <v>1.0371728863067949E-2</v>
      </c>
      <c r="AS68" s="11">
        <f t="shared" si="17"/>
        <v>1.0170100211503892E-2</v>
      </c>
      <c r="AT68" s="11">
        <f t="shared" si="17"/>
        <v>9.972706107877127E-3</v>
      </c>
      <c r="AU68" s="11">
        <f t="shared" si="17"/>
        <v>9.7794044126104825E-3</v>
      </c>
      <c r="AV68" s="11">
        <f t="shared" si="17"/>
        <v>9.5900630220368994E-3</v>
      </c>
      <c r="AW68" s="11">
        <f t="shared" si="17"/>
        <v>9.4045590029564318E-3</v>
      </c>
      <c r="AX68" s="11">
        <f t="shared" si="17"/>
        <v>9.2227777306283891E-3</v>
      </c>
      <c r="AY68" s="11">
        <f t="shared" si="17"/>
        <v>9.0446120476567419E-3</v>
      </c>
      <c r="AZ68" s="11">
        <f t="shared" si="17"/>
        <v>8.8699615140742406E-3</v>
      </c>
    </row>
    <row r="69" spans="1:82" ht="13">
      <c r="A69" s="9" t="s">
        <v>21</v>
      </c>
      <c r="B69" s="11">
        <f t="shared" si="18"/>
        <v>7.2191982959961985E-3</v>
      </c>
      <c r="C69" s="11">
        <f t="shared" si="17"/>
        <v>6.8554804656227137E-3</v>
      </c>
      <c r="D69" s="11">
        <f t="shared" si="17"/>
        <v>6.5306421866479477E-3</v>
      </c>
      <c r="E69" s="11">
        <f t="shared" si="17"/>
        <v>6.2533332392475712E-3</v>
      </c>
      <c r="F69" s="11">
        <f t="shared" si="17"/>
        <v>5.9961359963667648E-3</v>
      </c>
      <c r="G69" s="11">
        <f t="shared" si="17"/>
        <v>5.739536891540829E-3</v>
      </c>
      <c r="H69" s="11">
        <f t="shared" si="17"/>
        <v>5.487310664562422E-3</v>
      </c>
      <c r="I69" s="11">
        <f t="shared" si="17"/>
        <v>5.2509032916537831E-3</v>
      </c>
      <c r="J69" s="11">
        <f t="shared" si="17"/>
        <v>5.0334325081394541E-3</v>
      </c>
      <c r="K69" s="11">
        <f t="shared" si="17"/>
        <v>4.8300465648461535E-3</v>
      </c>
      <c r="L69" s="11">
        <f t="shared" si="17"/>
        <v>4.6359571785056179E-3</v>
      </c>
      <c r="M69" s="11">
        <f t="shared" si="17"/>
        <v>4.4504521533285882E-3</v>
      </c>
      <c r="N69" s="11">
        <f t="shared" si="17"/>
        <v>4.2748896663684817E-3</v>
      </c>
      <c r="O69" s="11">
        <f t="shared" si="17"/>
        <v>4.1096354391935482E-3</v>
      </c>
      <c r="P69" s="11">
        <f t="shared" si="17"/>
        <v>3.9535586635382324E-3</v>
      </c>
      <c r="Q69" s="11">
        <f t="shared" si="17"/>
        <v>3.8052975926125754E-3</v>
      </c>
      <c r="R69" s="11">
        <f t="shared" si="17"/>
        <v>3.6641537351186451E-3</v>
      </c>
      <c r="S69" s="11">
        <f t="shared" si="17"/>
        <v>3.529918317518828E-3</v>
      </c>
      <c r="T69" s="11">
        <f t="shared" si="17"/>
        <v>3.4023376701127644E-3</v>
      </c>
      <c r="U69" s="11">
        <f t="shared" si="17"/>
        <v>3.2809298533142003E-3</v>
      </c>
      <c r="V69" s="11">
        <f t="shared" si="17"/>
        <v>3.1651545051741455E-3</v>
      </c>
      <c r="W69" s="11">
        <f t="shared" ref="C69:AZ70" si="19">W57*W$21/5</f>
        <v>3.0545870585938096E-3</v>
      </c>
      <c r="X69" s="11">
        <f t="shared" si="19"/>
        <v>2.9489213397096816E-3</v>
      </c>
      <c r="Y69" s="11">
        <f t="shared" si="19"/>
        <v>2.8478829580547609E-3</v>
      </c>
      <c r="Z69" s="11">
        <f t="shared" si="19"/>
        <v>2.7511822884464807E-3</v>
      </c>
      <c r="AA69" s="11">
        <f t="shared" si="19"/>
        <v>2.6585312020612631E-3</v>
      </c>
      <c r="AB69" s="11">
        <f t="shared" si="19"/>
        <v>2.5696725406206054E-3</v>
      </c>
      <c r="AC69" s="11">
        <f t="shared" si="19"/>
        <v>2.4843849106274954E-3</v>
      </c>
      <c r="AD69" s="11">
        <f t="shared" si="19"/>
        <v>2.4024688834648139E-3</v>
      </c>
      <c r="AE69" s="11">
        <f t="shared" si="19"/>
        <v>2.3237360140355295E-3</v>
      </c>
      <c r="AF69" s="11">
        <f t="shared" si="19"/>
        <v>2.2480084880501746E-3</v>
      </c>
      <c r="AG69" s="11">
        <f t="shared" si="19"/>
        <v>2.1751228658476785E-3</v>
      </c>
      <c r="AH69" s="11">
        <f t="shared" si="19"/>
        <v>2.1049308227253198E-3</v>
      </c>
      <c r="AI69" s="11">
        <f t="shared" si="19"/>
        <v>2.0372964886541918E-3</v>
      </c>
      <c r="AJ69" s="11">
        <f t="shared" si="19"/>
        <v>1.9720936442239891E-3</v>
      </c>
      <c r="AK69" s="11">
        <f t="shared" si="19"/>
        <v>1.9092046010506666E-3</v>
      </c>
      <c r="AL69" s="11">
        <f t="shared" si="19"/>
        <v>1.8485200939906883E-3</v>
      </c>
      <c r="AM69" s="11">
        <f t="shared" si="19"/>
        <v>1.7899389494779924E-3</v>
      </c>
      <c r="AN69" s="11">
        <f t="shared" si="19"/>
        <v>1.7333672278384538E-3</v>
      </c>
      <c r="AO69" s="11">
        <f t="shared" si="19"/>
        <v>1.678717281839762E-3</v>
      </c>
      <c r="AP69" s="11">
        <f t="shared" si="19"/>
        <v>1.6259070949398049E-3</v>
      </c>
      <c r="AQ69" s="11">
        <f t="shared" si="19"/>
        <v>1.5748598613133998E-3</v>
      </c>
      <c r="AR69" s="11">
        <f t="shared" si="19"/>
        <v>1.5255036062938084E-3</v>
      </c>
      <c r="AS69" s="11">
        <f t="shared" si="19"/>
        <v>1.477770758982218E-3</v>
      </c>
      <c r="AT69" s="11">
        <f t="shared" si="19"/>
        <v>1.4315977255773655E-3</v>
      </c>
      <c r="AU69" s="11">
        <f t="shared" si="19"/>
        <v>1.3869245263388322E-3</v>
      </c>
      <c r="AV69" s="11">
        <f t="shared" si="19"/>
        <v>1.34369450028224E-3</v>
      </c>
      <c r="AW69" s="11">
        <f t="shared" si="19"/>
        <v>1.3018540454607928E-3</v>
      </c>
      <c r="AX69" s="11">
        <f t="shared" si="19"/>
        <v>1.2613523733213201E-3</v>
      </c>
      <c r="AY69" s="11">
        <f t="shared" si="19"/>
        <v>1.2221412788856944E-3</v>
      </c>
      <c r="AZ69" s="11">
        <f t="shared" si="19"/>
        <v>1.1841749353634127E-3</v>
      </c>
    </row>
    <row r="70" spans="1:82" s="7" customFormat="1" ht="13">
      <c r="A70" s="4" t="s">
        <v>22</v>
      </c>
      <c r="B70" s="11">
        <f t="shared" si="18"/>
        <v>8.0924895904412758E-4</v>
      </c>
      <c r="C70" s="11">
        <f t="shared" si="19"/>
        <v>7.5462156350015986E-4</v>
      </c>
      <c r="D70" s="11">
        <f t="shared" si="19"/>
        <v>7.0593274876379125E-4</v>
      </c>
      <c r="E70" s="11">
        <f t="shared" si="19"/>
        <v>6.6382366366702782E-4</v>
      </c>
      <c r="F70" s="11">
        <f t="shared" si="19"/>
        <v>6.2512022095913148E-4</v>
      </c>
      <c r="G70" s="11">
        <f t="shared" si="19"/>
        <v>5.8767424551672853E-4</v>
      </c>
      <c r="H70" s="11">
        <f t="shared" si="19"/>
        <v>5.5182774856563847E-4</v>
      </c>
      <c r="I70" s="11">
        <f t="shared" si="19"/>
        <v>5.1865464317257782E-4</v>
      </c>
      <c r="J70" s="11">
        <f t="shared" si="19"/>
        <v>4.8834246917643512E-4</v>
      </c>
      <c r="K70" s="11">
        <f t="shared" si="19"/>
        <v>4.6030208700037896E-4</v>
      </c>
      <c r="L70" s="11">
        <f t="shared" si="19"/>
        <v>4.3398775316707107E-4</v>
      </c>
      <c r="M70" s="11">
        <f t="shared" si="19"/>
        <v>4.0926381689172005E-4</v>
      </c>
      <c r="N70" s="11">
        <f t="shared" si="19"/>
        <v>3.8618880844915683E-4</v>
      </c>
      <c r="O70" s="11">
        <f t="shared" si="19"/>
        <v>3.6472684041056574E-4</v>
      </c>
      <c r="P70" s="11">
        <f t="shared" si="19"/>
        <v>3.4471172513480462E-4</v>
      </c>
      <c r="Q70" s="11">
        <f t="shared" si="19"/>
        <v>3.2596684570443364E-4</v>
      </c>
      <c r="R70" s="11">
        <f t="shared" si="19"/>
        <v>3.083817221881644E-4</v>
      </c>
      <c r="S70" s="11">
        <f t="shared" si="19"/>
        <v>2.9189231409006524E-4</v>
      </c>
      <c r="T70" s="11">
        <f t="shared" si="19"/>
        <v>2.7643378822638632E-4</v>
      </c>
      <c r="U70" s="11">
        <f t="shared" si="19"/>
        <v>2.6192608007634741E-4</v>
      </c>
      <c r="V70" s="11">
        <f t="shared" si="19"/>
        <v>2.482886779183001E-4</v>
      </c>
      <c r="W70" s="11">
        <f t="shared" si="19"/>
        <v>2.3545427095198731E-4</v>
      </c>
      <c r="X70" s="11">
        <f t="shared" si="19"/>
        <v>2.2336798608684505E-4</v>
      </c>
      <c r="Y70" s="11">
        <f t="shared" si="19"/>
        <v>2.1198001570662915E-4</v>
      </c>
      <c r="Z70" s="11">
        <f t="shared" si="19"/>
        <v>2.0124186013722737E-4</v>
      </c>
      <c r="AA70" s="11">
        <f t="shared" si="19"/>
        <v>1.9110752517160196E-4</v>
      </c>
      <c r="AB70" s="11">
        <f t="shared" si="19"/>
        <v>1.8153549427134906E-4</v>
      </c>
      <c r="AC70" s="11">
        <f t="shared" si="19"/>
        <v>1.7248877687270396E-4</v>
      </c>
      <c r="AD70" s="11">
        <f t="shared" si="19"/>
        <v>1.6393366802301712E-4</v>
      </c>
      <c r="AE70" s="11">
        <f t="shared" si="19"/>
        <v>1.5583880938711402E-4</v>
      </c>
      <c r="AF70" s="11">
        <f t="shared" si="19"/>
        <v>1.4817503673018133E-4</v>
      </c>
      <c r="AG70" s="11">
        <f t="shared" si="19"/>
        <v>1.4091550134836525E-4</v>
      </c>
      <c r="AH70" s="11">
        <f t="shared" si="19"/>
        <v>1.3403558112162989E-4</v>
      </c>
      <c r="AI70" s="11">
        <f t="shared" si="19"/>
        <v>1.2751258053138209E-4</v>
      </c>
      <c r="AJ70" s="11">
        <f t="shared" si="19"/>
        <v>1.2132544542939302E-4</v>
      </c>
      <c r="AK70" s="11">
        <f t="shared" si="19"/>
        <v>1.1545460277957511E-4</v>
      </c>
      <c r="AL70" s="11">
        <f t="shared" si="19"/>
        <v>1.098818718741132E-4</v>
      </c>
      <c r="AM70" s="11">
        <f t="shared" si="19"/>
        <v>1.0459036702050368E-4</v>
      </c>
      <c r="AN70" s="11">
        <f t="shared" si="19"/>
        <v>9.9564375679989624E-5</v>
      </c>
      <c r="AO70" s="11">
        <f t="shared" si="19"/>
        <v>9.4789240326756397E-5</v>
      </c>
      <c r="AP70" s="11">
        <f t="shared" si="19"/>
        <v>9.0251264292092701E-5</v>
      </c>
      <c r="AQ70" s="11">
        <f t="shared" si="19"/>
        <v>8.5937637207227454E-5</v>
      </c>
      <c r="AR70" s="11">
        <f t="shared" si="19"/>
        <v>8.1836367326565114E-5</v>
      </c>
      <c r="AS70" s="11">
        <f t="shared" si="19"/>
        <v>7.7936215569518488E-5</v>
      </c>
      <c r="AT70" s="11">
        <f t="shared" si="19"/>
        <v>7.4226633870492164E-5</v>
      </c>
      <c r="AU70" s="11">
        <f t="shared" si="19"/>
        <v>7.0697710810330034E-5</v>
      </c>
      <c r="AV70" s="11">
        <f t="shared" si="19"/>
        <v>6.7340124133559527E-5</v>
      </c>
      <c r="AW70" s="11">
        <f t="shared" si="19"/>
        <v>6.4145097980767559E-5</v>
      </c>
      <c r="AX70" s="11">
        <f t="shared" si="19"/>
        <v>6.1104363431655582E-5</v>
      </c>
      <c r="AY70" s="11">
        <f t="shared" si="19"/>
        <v>5.8210122224304449E-5</v>
      </c>
      <c r="AZ70" s="11">
        <f t="shared" si="19"/>
        <v>5.5455013838308487E-5</v>
      </c>
    </row>
    <row r="72" spans="1:82" s="6" customFormat="1">
      <c r="A72" s="5" t="s">
        <v>49</v>
      </c>
    </row>
    <row r="73" spans="1:82" ht="13">
      <c r="A73" s="9" t="s">
        <v>23</v>
      </c>
      <c r="B73" s="10">
        <v>1990</v>
      </c>
      <c r="C73" s="10">
        <v>1991</v>
      </c>
      <c r="D73" s="10">
        <v>1992</v>
      </c>
      <c r="E73" s="10">
        <v>1993</v>
      </c>
      <c r="F73" s="10">
        <v>1994</v>
      </c>
      <c r="G73" s="10">
        <v>1995</v>
      </c>
      <c r="H73" s="10">
        <v>1996</v>
      </c>
      <c r="I73" s="10">
        <v>1997</v>
      </c>
      <c r="J73" s="10">
        <v>1998</v>
      </c>
      <c r="K73" s="10">
        <v>1999</v>
      </c>
      <c r="L73" s="10">
        <v>2000</v>
      </c>
      <c r="M73" s="10">
        <v>2001</v>
      </c>
      <c r="N73" s="10">
        <v>2002</v>
      </c>
      <c r="O73" s="10">
        <v>2003</v>
      </c>
      <c r="P73" s="10">
        <v>2004</v>
      </c>
      <c r="Q73" s="10">
        <v>2005</v>
      </c>
      <c r="R73" s="10">
        <v>2006</v>
      </c>
      <c r="S73" s="10">
        <v>2007</v>
      </c>
      <c r="T73" s="10">
        <v>2008</v>
      </c>
      <c r="U73" s="10">
        <v>2009</v>
      </c>
      <c r="V73" s="10">
        <v>2010</v>
      </c>
      <c r="W73" s="10">
        <v>2011</v>
      </c>
      <c r="X73" s="10">
        <v>2012</v>
      </c>
      <c r="Y73" s="10">
        <v>2013</v>
      </c>
      <c r="Z73" s="10">
        <v>2014</v>
      </c>
      <c r="AA73" s="10">
        <v>2015</v>
      </c>
      <c r="AB73" s="10">
        <v>2016</v>
      </c>
      <c r="AC73" s="10">
        <v>2017</v>
      </c>
      <c r="AD73" s="10">
        <v>2018</v>
      </c>
      <c r="AE73" s="10">
        <v>2019</v>
      </c>
      <c r="AF73" s="10">
        <v>2020</v>
      </c>
      <c r="AG73" s="10">
        <v>2021</v>
      </c>
      <c r="AH73" s="10">
        <v>2022</v>
      </c>
      <c r="AI73" s="10">
        <v>2023</v>
      </c>
      <c r="AJ73" s="10">
        <v>2024</v>
      </c>
      <c r="AK73" s="10">
        <v>2025</v>
      </c>
      <c r="AL73" s="10">
        <v>2026</v>
      </c>
      <c r="AM73" s="10">
        <v>2027</v>
      </c>
      <c r="AN73" s="10">
        <v>2028</v>
      </c>
      <c r="AO73" s="10">
        <v>2029</v>
      </c>
      <c r="AP73" s="10">
        <v>2030</v>
      </c>
      <c r="AQ73" s="10">
        <v>2031</v>
      </c>
      <c r="AR73" s="10">
        <v>2032</v>
      </c>
      <c r="AS73" s="10">
        <v>2033</v>
      </c>
      <c r="AT73" s="10">
        <v>2034</v>
      </c>
      <c r="AU73" s="10">
        <v>2035</v>
      </c>
      <c r="AV73" s="10">
        <v>2036</v>
      </c>
      <c r="AW73" s="10">
        <v>2037</v>
      </c>
      <c r="AX73" s="10">
        <v>2038</v>
      </c>
      <c r="AY73" s="10">
        <v>2039</v>
      </c>
      <c r="AZ73" s="10">
        <v>2040</v>
      </c>
      <c r="BA73" s="10">
        <v>2041</v>
      </c>
      <c r="BB73" s="10">
        <v>2042</v>
      </c>
      <c r="BC73" s="10">
        <v>2043</v>
      </c>
      <c r="BD73" s="10">
        <v>2044</v>
      </c>
      <c r="BE73" s="10">
        <v>2045</v>
      </c>
      <c r="BF73" s="10">
        <v>2046</v>
      </c>
      <c r="BG73" s="10">
        <v>2047</v>
      </c>
      <c r="BH73" s="10">
        <v>2048</v>
      </c>
      <c r="BI73" s="10">
        <v>2049</v>
      </c>
      <c r="BJ73" s="10">
        <v>2050</v>
      </c>
      <c r="BK73" s="10">
        <v>2051</v>
      </c>
      <c r="BL73" s="10">
        <v>2052</v>
      </c>
      <c r="BM73" s="10">
        <v>2053</v>
      </c>
      <c r="BN73" s="10">
        <v>2054</v>
      </c>
      <c r="BO73" s="10">
        <v>2055</v>
      </c>
      <c r="BP73" s="10">
        <v>2056</v>
      </c>
      <c r="BQ73" s="10">
        <v>2057</v>
      </c>
      <c r="BR73" s="10">
        <v>2058</v>
      </c>
      <c r="BS73" s="10">
        <v>2059</v>
      </c>
      <c r="BT73" s="10">
        <v>2060</v>
      </c>
      <c r="BU73" s="10">
        <v>2061</v>
      </c>
      <c r="BV73" s="10">
        <v>2062</v>
      </c>
      <c r="BW73" s="10">
        <v>2063</v>
      </c>
      <c r="BX73" s="10">
        <v>2064</v>
      </c>
      <c r="BY73" s="10">
        <v>2065</v>
      </c>
      <c r="BZ73" s="10">
        <v>2066</v>
      </c>
      <c r="CA73" s="10">
        <v>2067</v>
      </c>
      <c r="CB73" s="10">
        <v>2068</v>
      </c>
      <c r="CC73" s="10">
        <v>2069</v>
      </c>
      <c r="CD73" s="10">
        <v>2070</v>
      </c>
    </row>
    <row r="74" spans="1:82" ht="13">
      <c r="A74" s="9" t="s">
        <v>16</v>
      </c>
      <c r="B74" s="11">
        <f>Bilogito!B179</f>
        <v>9.84239697284746E-2</v>
      </c>
      <c r="C74" s="11">
        <f>Bilogito!C179</f>
        <v>9.747925177120971E-2</v>
      </c>
      <c r="D74" s="11">
        <f>Bilogito!D179</f>
        <v>9.62964775886576E-2</v>
      </c>
      <c r="E74" s="11">
        <f>Bilogito!E179</f>
        <v>9.5151377557792502E-2</v>
      </c>
      <c r="F74" s="11">
        <f>Bilogito!F179</f>
        <v>9.4071644178998104E-2</v>
      </c>
      <c r="G74" s="11">
        <f>Bilogito!G179</f>
        <v>9.2703880063260788E-2</v>
      </c>
      <c r="H74" s="11">
        <f>Bilogito!H179</f>
        <v>9.1636644552767682E-2</v>
      </c>
      <c r="I74" s="11">
        <f>Bilogito!I179</f>
        <v>9.0458034124576842E-2</v>
      </c>
      <c r="J74" s="11">
        <f>Bilogito!J179</f>
        <v>8.9097290781378652E-2</v>
      </c>
      <c r="K74" s="11">
        <f>Bilogito!K179</f>
        <v>8.7484099243796118E-2</v>
      </c>
      <c r="L74" s="11">
        <f>Bilogito!L179</f>
        <v>8.5709125397569808E-2</v>
      </c>
      <c r="M74" s="11">
        <f>Bilogito!M179</f>
        <v>8.3868113866354704E-2</v>
      </c>
      <c r="N74" s="11">
        <f>Bilogito!N179</f>
        <v>8.1857637074087455E-2</v>
      </c>
      <c r="O74" s="11">
        <f>Bilogito!O179</f>
        <v>7.9304008790863148E-2</v>
      </c>
      <c r="P74" s="11">
        <f>Bilogito!P179</f>
        <v>7.6777905339729002E-2</v>
      </c>
      <c r="Q74" s="11">
        <f>Bilogito!Q179</f>
        <v>7.4871998378414545E-2</v>
      </c>
      <c r="R74" s="11">
        <f>Bilogito!R179</f>
        <v>7.3850538675935759E-2</v>
      </c>
      <c r="S74" s="11">
        <f>Bilogito!S179</f>
        <v>7.3403003145831952E-2</v>
      </c>
      <c r="T74" s="11">
        <f>Bilogito!T179</f>
        <v>7.3161867865749949E-2</v>
      </c>
      <c r="U74" s="11">
        <f>Bilogito!U179</f>
        <v>7.2825048420449401E-2</v>
      </c>
      <c r="V74" s="11">
        <f>Bilogito!V179</f>
        <v>7.2312199927849055E-2</v>
      </c>
      <c r="W74" s="11">
        <f>Bilogito!W179</f>
        <v>7.1278455831868662E-2</v>
      </c>
      <c r="X74" s="11">
        <f>Bilogito!X179</f>
        <v>6.9604466483790123E-2</v>
      </c>
      <c r="Y74" s="11">
        <f>Bilogito!Y179</f>
        <v>6.719098262121817E-2</v>
      </c>
      <c r="Z74" s="11">
        <f>Bilogito!Z179</f>
        <v>6.4617463795960201E-2</v>
      </c>
      <c r="AA74" s="11">
        <f>Bilogito!AA179</f>
        <v>6.1964030479403277E-2</v>
      </c>
      <c r="AB74" s="11">
        <f>Bilogito!AB179</f>
        <v>5.9371291005794337E-2</v>
      </c>
      <c r="AC74" s="11">
        <f>Bilogito!AC179</f>
        <v>5.7295883384054405E-2</v>
      </c>
      <c r="AD74" s="11">
        <f>Bilogito!AD179</f>
        <v>5.5860448072573919E-2</v>
      </c>
      <c r="AE74" s="11">
        <f>Bilogito!AE179</f>
        <v>5.4837066114416841E-2</v>
      </c>
      <c r="AF74" s="2">
        <f>B64</f>
        <v>5.8624066578103262E-2</v>
      </c>
      <c r="AG74" s="2">
        <f t="shared" ref="AG74:CD74" si="20">C64</f>
        <v>5.7387335469238333E-2</v>
      </c>
      <c r="AH74" s="2">
        <f t="shared" si="20"/>
        <v>5.6356518185627438E-2</v>
      </c>
      <c r="AI74" s="2">
        <f t="shared" si="20"/>
        <v>5.5632477275654867E-2</v>
      </c>
      <c r="AJ74" s="2">
        <f t="shared" si="20"/>
        <v>5.499647939320873E-2</v>
      </c>
      <c r="AK74" s="2">
        <f t="shared" si="20"/>
        <v>5.4275578066412741E-2</v>
      </c>
      <c r="AL74" s="2">
        <f t="shared" si="20"/>
        <v>5.3501817757443816E-2</v>
      </c>
      <c r="AM74" s="2">
        <f t="shared" si="20"/>
        <v>5.278872638768696E-2</v>
      </c>
      <c r="AN74" s="2">
        <f t="shared" si="20"/>
        <v>5.2177827403628738E-2</v>
      </c>
      <c r="AO74" s="2">
        <f t="shared" si="20"/>
        <v>5.1630182699152163E-2</v>
      </c>
      <c r="AP74" s="2">
        <f t="shared" si="20"/>
        <v>5.1102014128250675E-2</v>
      </c>
      <c r="AQ74" s="2">
        <f t="shared" si="20"/>
        <v>5.0589954996270795E-2</v>
      </c>
      <c r="AR74" s="2">
        <f t="shared" si="20"/>
        <v>5.011428864116494E-2</v>
      </c>
      <c r="AS74" s="2">
        <f t="shared" si="20"/>
        <v>4.9685660706281012E-2</v>
      </c>
      <c r="AT74" s="2">
        <f t="shared" si="20"/>
        <v>4.929709733165602E-2</v>
      </c>
      <c r="AU74" s="2">
        <f t="shared" si="20"/>
        <v>4.8937427129830076E-2</v>
      </c>
      <c r="AV74" s="2">
        <f t="shared" si="20"/>
        <v>4.8602564019314218E-2</v>
      </c>
      <c r="AW74" s="2">
        <f t="shared" si="20"/>
        <v>4.829436664173907E-2</v>
      </c>
      <c r="AX74" s="2">
        <f t="shared" si="20"/>
        <v>4.8014078380612481E-2</v>
      </c>
      <c r="AY74" s="2">
        <f t="shared" si="20"/>
        <v>4.7759551877527409E-2</v>
      </c>
      <c r="AZ74" s="2">
        <f t="shared" si="20"/>
        <v>4.7527261921979376E-2</v>
      </c>
      <c r="BA74" s="2">
        <f t="shared" si="20"/>
        <v>4.7314816806288844E-2</v>
      </c>
      <c r="BB74" s="2">
        <f t="shared" si="20"/>
        <v>4.7121221921169819E-2</v>
      </c>
      <c r="BC74" s="2">
        <f t="shared" si="20"/>
        <v>4.6945704012776722E-2</v>
      </c>
      <c r="BD74" s="2">
        <f t="shared" si="20"/>
        <v>4.6786963452931582E-2</v>
      </c>
      <c r="BE74" s="2">
        <f t="shared" si="20"/>
        <v>4.6643398822657736E-2</v>
      </c>
      <c r="BF74" s="2">
        <f t="shared" si="20"/>
        <v>4.6513611925029827E-2</v>
      </c>
      <c r="BG74" s="2">
        <f t="shared" si="20"/>
        <v>4.6396551490891856E-2</v>
      </c>
      <c r="BH74" s="2">
        <f t="shared" si="20"/>
        <v>4.6291321850473147E-2</v>
      </c>
      <c r="BI74" s="2">
        <f t="shared" si="20"/>
        <v>4.6197005028437398E-2</v>
      </c>
      <c r="BJ74" s="2">
        <f t="shared" si="20"/>
        <v>4.6112663818988972E-2</v>
      </c>
      <c r="BK74" s="2">
        <f t="shared" si="20"/>
        <v>4.6037431787809772E-2</v>
      </c>
      <c r="BL74" s="2">
        <f t="shared" si="20"/>
        <v>4.5970554459651404E-2</v>
      </c>
      <c r="BM74" s="2">
        <f t="shared" si="20"/>
        <v>4.5911359986930675E-2</v>
      </c>
      <c r="BN74" s="2">
        <f t="shared" si="20"/>
        <v>4.5859218536536614E-2</v>
      </c>
      <c r="BO74" s="2">
        <f t="shared" si="20"/>
        <v>4.581353250445603E-2</v>
      </c>
      <c r="BP74" s="2">
        <f t="shared" si="20"/>
        <v>4.5773748755474256E-2</v>
      </c>
      <c r="BQ74" s="2">
        <f t="shared" si="20"/>
        <v>4.5739366510494428E-2</v>
      </c>
      <c r="BR74" s="2">
        <f t="shared" si="20"/>
        <v>4.5709931737677657E-2</v>
      </c>
      <c r="BS74" s="2">
        <f t="shared" si="20"/>
        <v>4.5685026962305988E-2</v>
      </c>
      <c r="BT74" s="2">
        <f t="shared" si="20"/>
        <v>4.5664265870004515E-2</v>
      </c>
      <c r="BU74" s="2">
        <f t="shared" si="20"/>
        <v>4.5647292961810415E-2</v>
      </c>
      <c r="BV74" s="2">
        <f t="shared" si="20"/>
        <v>4.5633783540289984E-2</v>
      </c>
      <c r="BW74" s="2">
        <f t="shared" si="20"/>
        <v>4.5623441432298344E-2</v>
      </c>
      <c r="BX74" s="2">
        <f t="shared" si="20"/>
        <v>4.5615995534479967E-2</v>
      </c>
      <c r="BY74" s="2">
        <f t="shared" si="20"/>
        <v>4.5611197080655523E-2</v>
      </c>
      <c r="BZ74" s="2">
        <f t="shared" si="20"/>
        <v>4.5608818048902308E-2</v>
      </c>
      <c r="CA74" s="2">
        <f t="shared" si="20"/>
        <v>4.560864993502068E-2</v>
      </c>
      <c r="CB74" s="2">
        <f t="shared" si="20"/>
        <v>4.5610502265493999E-2</v>
      </c>
      <c r="CC74" s="2">
        <f t="shared" si="20"/>
        <v>4.5614200914942088E-2</v>
      </c>
      <c r="CD74" s="2">
        <f t="shared" si="20"/>
        <v>4.561958657746177E-2</v>
      </c>
    </row>
    <row r="75" spans="1:82" ht="13">
      <c r="A75" s="9" t="s">
        <v>17</v>
      </c>
      <c r="B75" s="11">
        <f>Bilogito!B180</f>
        <v>0.18249135201120825</v>
      </c>
      <c r="C75" s="11">
        <f>Bilogito!C180</f>
        <v>0.17987878750194747</v>
      </c>
      <c r="D75" s="11">
        <f>Bilogito!D180</f>
        <v>0.17646034509565572</v>
      </c>
      <c r="E75" s="11">
        <f>Bilogito!E180</f>
        <v>0.17247507931046041</v>
      </c>
      <c r="F75" s="11">
        <f>Bilogito!F180</f>
        <v>0.1683111918897118</v>
      </c>
      <c r="G75" s="11">
        <f>Bilogito!G180</f>
        <v>0.16412382833379496</v>
      </c>
      <c r="H75" s="11">
        <f>Bilogito!H180</f>
        <v>0.1602432121929358</v>
      </c>
      <c r="I75" s="11">
        <f>Bilogito!I180</f>
        <v>0.15761861858419973</v>
      </c>
      <c r="J75" s="11">
        <f>Bilogito!J180</f>
        <v>0.15681774863501829</v>
      </c>
      <c r="K75" s="11">
        <f>Bilogito!K180</f>
        <v>0.15732347424316778</v>
      </c>
      <c r="L75" s="11">
        <f>Bilogito!L180</f>
        <v>0.15693328514119848</v>
      </c>
      <c r="M75" s="11">
        <f>Bilogito!M180</f>
        <v>0.15507154680246565</v>
      </c>
      <c r="N75" s="11">
        <f>Bilogito!N180</f>
        <v>0.15231295429017627</v>
      </c>
      <c r="O75" s="11">
        <f>Bilogito!O180</f>
        <v>0.14998133409466216</v>
      </c>
      <c r="P75" s="11">
        <f>Bilogito!P180</f>
        <v>0.14850311092769128</v>
      </c>
      <c r="Q75" s="11">
        <f>Bilogito!Q180</f>
        <v>0.14736359418411127</v>
      </c>
      <c r="R75" s="11">
        <f>Bilogito!R180</f>
        <v>0.14649308372161621</v>
      </c>
      <c r="S75" s="11">
        <f>Bilogito!S180</f>
        <v>0.14595955750631354</v>
      </c>
      <c r="T75" s="11">
        <f>Bilogito!T180</f>
        <v>0.14564916431371133</v>
      </c>
      <c r="U75" s="11">
        <f>Bilogito!U180</f>
        <v>0.14515423854940093</v>
      </c>
      <c r="V75" s="11">
        <f>Bilogito!V180</f>
        <v>0.14375586286123695</v>
      </c>
      <c r="W75" s="11">
        <f>Bilogito!W180</f>
        <v>0.14150014166340283</v>
      </c>
      <c r="X75" s="11">
        <f>Bilogito!X180</f>
        <v>0.13897799609578113</v>
      </c>
      <c r="Y75" s="11">
        <f>Bilogito!Y180</f>
        <v>0.13737919890401667</v>
      </c>
      <c r="Z75" s="11">
        <f>Bilogito!Z180</f>
        <v>0.13603231014119274</v>
      </c>
      <c r="AA75" s="11">
        <f>Bilogito!AA180</f>
        <v>0.13376605960781612</v>
      </c>
      <c r="AB75" s="11">
        <f>Bilogito!AB180</f>
        <v>0.12994864966836367</v>
      </c>
      <c r="AC75" s="11">
        <f>Bilogito!AC180</f>
        <v>0.12655352959435592</v>
      </c>
      <c r="AD75" s="11">
        <f>Bilogito!AD180</f>
        <v>0.12446007477960926</v>
      </c>
      <c r="AE75" s="11">
        <f>Bilogito!AE180</f>
        <v>0.12114744133621599</v>
      </c>
      <c r="AF75" s="2">
        <f t="shared" ref="AF75:CD75" si="21">B65</f>
        <v>0.12760170998800766</v>
      </c>
      <c r="AG75" s="2">
        <f t="shared" si="21"/>
        <v>0.12574623459509518</v>
      </c>
      <c r="AH75" s="2">
        <f t="shared" si="21"/>
        <v>0.12430651389426524</v>
      </c>
      <c r="AI75" s="2">
        <f t="shared" si="21"/>
        <v>0.12351556724128158</v>
      </c>
      <c r="AJ75" s="2">
        <f t="shared" si="21"/>
        <v>0.12289800567383773</v>
      </c>
      <c r="AK75" s="2">
        <f t="shared" si="21"/>
        <v>0.12206873797854019</v>
      </c>
      <c r="AL75" s="2">
        <f t="shared" si="21"/>
        <v>0.12109669755776227</v>
      </c>
      <c r="AM75" s="2">
        <f t="shared" si="21"/>
        <v>0.12023827370179878</v>
      </c>
      <c r="AN75" s="2">
        <f t="shared" si="21"/>
        <v>0.11959131719303753</v>
      </c>
      <c r="AO75" s="2">
        <f t="shared" si="21"/>
        <v>0.11907046441543478</v>
      </c>
      <c r="AP75" s="2">
        <f t="shared" si="21"/>
        <v>0.11857688621404409</v>
      </c>
      <c r="AQ75" s="2">
        <f t="shared" si="21"/>
        <v>0.1181036042934768</v>
      </c>
      <c r="AR75" s="2">
        <f t="shared" si="21"/>
        <v>0.11769899118549507</v>
      </c>
      <c r="AS75" s="2">
        <f t="shared" si="21"/>
        <v>0.11738978447821</v>
      </c>
      <c r="AT75" s="2">
        <f t="shared" si="21"/>
        <v>0.11716143308309998</v>
      </c>
      <c r="AU75" s="2">
        <f t="shared" si="21"/>
        <v>0.11698895002637696</v>
      </c>
      <c r="AV75" s="2">
        <f t="shared" si="21"/>
        <v>0.11686375330995653</v>
      </c>
      <c r="AW75" s="2">
        <f t="shared" si="21"/>
        <v>0.11679140339032328</v>
      </c>
      <c r="AX75" s="2">
        <f t="shared" si="21"/>
        <v>0.11677606050355407</v>
      </c>
      <c r="AY75" s="2">
        <f t="shared" si="21"/>
        <v>0.11681365289053466</v>
      </c>
      <c r="AZ75" s="2">
        <f t="shared" si="21"/>
        <v>0.11689659467089004</v>
      </c>
      <c r="BA75" s="2">
        <f t="shared" si="21"/>
        <v>0.11701990390297146</v>
      </c>
      <c r="BB75" s="2">
        <f t="shared" si="21"/>
        <v>0.11718193684519343</v>
      </c>
      <c r="BC75" s="2">
        <f t="shared" si="21"/>
        <v>0.11738154393981874</v>
      </c>
      <c r="BD75" s="2">
        <f t="shared" si="21"/>
        <v>0.11761620549437042</v>
      </c>
      <c r="BE75" s="2">
        <f t="shared" si="21"/>
        <v>0.11788256421115106</v>
      </c>
      <c r="BF75" s="2">
        <f t="shared" si="21"/>
        <v>0.11817768866925218</v>
      </c>
      <c r="BG75" s="2">
        <f t="shared" si="21"/>
        <v>0.11849945468694648</v>
      </c>
      <c r="BH75" s="2">
        <f t="shared" si="21"/>
        <v>0.11884607784895587</v>
      </c>
      <c r="BI75" s="2">
        <f t="shared" si="21"/>
        <v>0.11921566521146069</v>
      </c>
      <c r="BJ75" s="2">
        <f t="shared" si="21"/>
        <v>0.11960622223594919</v>
      </c>
      <c r="BK75" s="2">
        <f t="shared" si="21"/>
        <v>0.12001588659997568</v>
      </c>
      <c r="BL75" s="2">
        <f t="shared" si="21"/>
        <v>0.12044304120073368</v>
      </c>
      <c r="BM75" s="2">
        <f t="shared" si="21"/>
        <v>0.12088624464929318</v>
      </c>
      <c r="BN75" s="2">
        <f t="shared" si="21"/>
        <v>0.12134412954471116</v>
      </c>
      <c r="BO75" s="2">
        <f t="shared" si="21"/>
        <v>0.12181537950593797</v>
      </c>
      <c r="BP75" s="2">
        <f t="shared" si="21"/>
        <v>0.12229876426479494</v>
      </c>
      <c r="BQ75" s="2">
        <f t="shared" si="21"/>
        <v>0.12279316399308091</v>
      </c>
      <c r="BR75" s="2">
        <f t="shared" si="21"/>
        <v>0.12329755779627571</v>
      </c>
      <c r="BS75" s="2">
        <f t="shared" si="21"/>
        <v>0.12381099932405112</v>
      </c>
      <c r="BT75" s="2">
        <f t="shared" si="21"/>
        <v>0.12433260462249551</v>
      </c>
      <c r="BU75" s="2">
        <f t="shared" si="21"/>
        <v>0.12486155336918628</v>
      </c>
      <c r="BV75" s="2">
        <f t="shared" si="21"/>
        <v>0.12539709096830803</v>
      </c>
      <c r="BW75" s="2">
        <f t="shared" si="21"/>
        <v>0.12593852437335701</v>
      </c>
      <c r="BX75" s="2">
        <f t="shared" si="21"/>
        <v>0.12648521445165994</v>
      </c>
      <c r="BY75" s="2">
        <f t="shared" si="21"/>
        <v>0.12703657008064689</v>
      </c>
      <c r="BZ75" s="2">
        <f t="shared" si="21"/>
        <v>0.12759204521074735</v>
      </c>
      <c r="CA75" s="2">
        <f t="shared" si="21"/>
        <v>0.12815113682296797</v>
      </c>
      <c r="CB75" s="2">
        <f t="shared" si="21"/>
        <v>0.12871338204503194</v>
      </c>
      <c r="CC75" s="2">
        <f t="shared" si="21"/>
        <v>0.1292783545894711</v>
      </c>
      <c r="CD75" s="2">
        <f t="shared" si="21"/>
        <v>0.12984566149315596</v>
      </c>
    </row>
    <row r="76" spans="1:82" ht="13">
      <c r="A76" s="9" t="s">
        <v>18</v>
      </c>
      <c r="B76" s="11">
        <f>Bilogito!B181</f>
        <v>0.18223870703855713</v>
      </c>
      <c r="C76" s="11">
        <f>Bilogito!C181</f>
        <v>0.17832151010567299</v>
      </c>
      <c r="D76" s="11">
        <f>Bilogito!D181</f>
        <v>0.17367971157222276</v>
      </c>
      <c r="E76" s="11">
        <f>Bilogito!E181</f>
        <v>0.16833432897464226</v>
      </c>
      <c r="F76" s="11">
        <f>Bilogito!F181</f>
        <v>0.16271075876415475</v>
      </c>
      <c r="G76" s="11">
        <f>Bilogito!G181</f>
        <v>0.15727421097718572</v>
      </c>
      <c r="H76" s="11">
        <f>Bilogito!H181</f>
        <v>0.15210852940645758</v>
      </c>
      <c r="I76" s="11">
        <f>Bilogito!I181</f>
        <v>0.14840241533502713</v>
      </c>
      <c r="J76" s="11">
        <f>Bilogito!J181</f>
        <v>0.14668912667472209</v>
      </c>
      <c r="K76" s="11">
        <f>Bilogito!K181</f>
        <v>0.14633445843946316</v>
      </c>
      <c r="L76" s="11">
        <f>Bilogito!L181</f>
        <v>0.14507903796517219</v>
      </c>
      <c r="M76" s="11">
        <f>Bilogito!M181</f>
        <v>0.14243851848122033</v>
      </c>
      <c r="N76" s="11">
        <f>Bilogito!N181</f>
        <v>0.1390923710579475</v>
      </c>
      <c r="O76" s="11">
        <f>Bilogito!O181</f>
        <v>0.13653274461899903</v>
      </c>
      <c r="P76" s="11">
        <f>Bilogito!P181</f>
        <v>0.13490543700622409</v>
      </c>
      <c r="Q76" s="11">
        <f>Bilogito!Q181</f>
        <v>0.13353435452951246</v>
      </c>
      <c r="R76" s="11">
        <f>Bilogito!R181</f>
        <v>0.13213988673335689</v>
      </c>
      <c r="S76" s="11">
        <f>Bilogito!S181</f>
        <v>0.13078289320612652</v>
      </c>
      <c r="T76" s="11">
        <f>Bilogito!T181</f>
        <v>0.1293680076335631</v>
      </c>
      <c r="U76" s="11">
        <f>Bilogito!U181</f>
        <v>0.12762887476147078</v>
      </c>
      <c r="V76" s="11">
        <f>Bilogito!V181</f>
        <v>0.12509553452591343</v>
      </c>
      <c r="W76" s="11">
        <f>Bilogito!W181</f>
        <v>0.12218781953153487</v>
      </c>
      <c r="X76" s="11">
        <f>Bilogito!X181</f>
        <v>0.11946109261812918</v>
      </c>
      <c r="Y76" s="11">
        <f>Bilogito!Y181</f>
        <v>0.1180358068284669</v>
      </c>
      <c r="Z76" s="11">
        <f>Bilogito!Z181</f>
        <v>0.1170666077753006</v>
      </c>
      <c r="AA76" s="11">
        <f>Bilogito!AA181</f>
        <v>0.11565691033009493</v>
      </c>
      <c r="AB76" s="11">
        <f>Bilogito!AB181</f>
        <v>0.11309391715017178</v>
      </c>
      <c r="AC76" s="11">
        <f>Bilogito!AC181</f>
        <v>0.11113342120318528</v>
      </c>
      <c r="AD76" s="11">
        <f>Bilogito!AD181</f>
        <v>0.11069591414182844</v>
      </c>
      <c r="AE76" s="11">
        <f>Bilogito!AE181</f>
        <v>0.10959546964026408</v>
      </c>
      <c r="AF76" s="2">
        <f t="shared" ref="AF76:CD76" si="22">B66</f>
        <v>0.10784149787275861</v>
      </c>
      <c r="AG76" s="2">
        <f t="shared" si="22"/>
        <v>0.10571850463143613</v>
      </c>
      <c r="AH76" s="2">
        <f t="shared" si="22"/>
        <v>0.1039598784133593</v>
      </c>
      <c r="AI76" s="2">
        <f t="shared" si="22"/>
        <v>0.10275402395111841</v>
      </c>
      <c r="AJ76" s="2">
        <f t="shared" si="22"/>
        <v>0.10169903095455327</v>
      </c>
      <c r="AK76" s="2">
        <f t="shared" si="22"/>
        <v>0.1004756915381356</v>
      </c>
      <c r="AL76" s="2">
        <f t="shared" si="22"/>
        <v>9.914328566424703E-2</v>
      </c>
      <c r="AM76" s="2">
        <f t="shared" si="22"/>
        <v>9.7912523062280432E-2</v>
      </c>
      <c r="AN76" s="2">
        <f t="shared" si="22"/>
        <v>9.686120232794948E-2</v>
      </c>
      <c r="AO76" s="2">
        <f t="shared" si="22"/>
        <v>9.5917819185178763E-2</v>
      </c>
      <c r="AP76" s="2">
        <f t="shared" si="22"/>
        <v>9.5001579423685034E-2</v>
      </c>
      <c r="AQ76" s="2">
        <f t="shared" si="22"/>
        <v>9.4106605873943414E-2</v>
      </c>
      <c r="AR76" s="2">
        <f t="shared" si="22"/>
        <v>9.3271005019726724E-2</v>
      </c>
      <c r="AS76" s="2">
        <f t="shared" si="22"/>
        <v>9.2514989411615081E-2</v>
      </c>
      <c r="AT76" s="2">
        <f t="shared" si="22"/>
        <v>9.1825947861502194E-2</v>
      </c>
      <c r="AU76" s="2">
        <f t="shared" si="22"/>
        <v>9.1183390510334222E-2</v>
      </c>
      <c r="AV76" s="2">
        <f t="shared" si="22"/>
        <v>9.0579977929023225E-2</v>
      </c>
      <c r="AW76" s="2">
        <f t="shared" si="22"/>
        <v>9.0019421031345012E-2</v>
      </c>
      <c r="AX76" s="2">
        <f t="shared" si="22"/>
        <v>8.9504262871150569E-2</v>
      </c>
      <c r="AY76" s="2">
        <f t="shared" si="22"/>
        <v>8.9030702568928019E-2</v>
      </c>
      <c r="AZ76" s="2">
        <f t="shared" si="22"/>
        <v>8.8592348063703169E-2</v>
      </c>
      <c r="BA76" s="2">
        <f t="shared" si="22"/>
        <v>8.8184901614870387E-2</v>
      </c>
      <c r="BB76" s="2">
        <f t="shared" si="22"/>
        <v>8.7806653789898131E-2</v>
      </c>
      <c r="BC76" s="2">
        <f t="shared" si="22"/>
        <v>8.7456293028131821E-2</v>
      </c>
      <c r="BD76" s="2">
        <f t="shared" si="22"/>
        <v>8.7131513985750322E-2</v>
      </c>
      <c r="BE76" s="2">
        <f t="shared" si="22"/>
        <v>8.6829438798925504E-2</v>
      </c>
      <c r="BF76" s="2">
        <f t="shared" si="22"/>
        <v>8.6547559909661481E-2</v>
      </c>
      <c r="BG76" s="2">
        <f t="shared" si="22"/>
        <v>8.6284008481502125E-2</v>
      </c>
      <c r="BH76" s="2">
        <f t="shared" si="22"/>
        <v>8.603719875637976E-2</v>
      </c>
      <c r="BI76" s="2">
        <f t="shared" si="22"/>
        <v>8.5805498093805194E-2</v>
      </c>
      <c r="BJ76" s="2">
        <f t="shared" si="22"/>
        <v>8.5587234041750532E-2</v>
      </c>
      <c r="BK76" s="2">
        <f t="shared" si="22"/>
        <v>8.5380862604829466E-2</v>
      </c>
      <c r="BL76" s="2">
        <f t="shared" si="22"/>
        <v>8.5185045217930161E-2</v>
      </c>
      <c r="BM76" s="2">
        <f t="shared" si="22"/>
        <v>8.4998594603706332E-2</v>
      </c>
      <c r="BN76" s="2">
        <f t="shared" si="22"/>
        <v>8.4820399866939206E-2</v>
      </c>
      <c r="BO76" s="2">
        <f t="shared" si="22"/>
        <v>8.4649408852777219E-2</v>
      </c>
      <c r="BP76" s="2">
        <f t="shared" si="22"/>
        <v>8.4484651186143719E-2</v>
      </c>
      <c r="BQ76" s="2">
        <f t="shared" si="22"/>
        <v>8.4325253063062072E-2</v>
      </c>
      <c r="BR76" s="2">
        <f t="shared" si="22"/>
        <v>8.4170426998984568E-2</v>
      </c>
      <c r="BS76" s="2">
        <f t="shared" si="22"/>
        <v>8.4019453132716374E-2</v>
      </c>
      <c r="BT76" s="2">
        <f t="shared" si="22"/>
        <v>8.3871669395911702E-2</v>
      </c>
      <c r="BU76" s="2">
        <f t="shared" si="22"/>
        <v>8.3726470961988181E-2</v>
      </c>
      <c r="BV76" s="2">
        <f t="shared" si="22"/>
        <v>8.3583310248979303E-2</v>
      </c>
      <c r="BW76" s="2">
        <f t="shared" si="22"/>
        <v>8.3441692727583353E-2</v>
      </c>
      <c r="BX76" s="2">
        <f t="shared" si="22"/>
        <v>8.330117056355367E-2</v>
      </c>
      <c r="BY76" s="2">
        <f t="shared" si="22"/>
        <v>8.3161337586874579E-2</v>
      </c>
      <c r="BZ76" s="2">
        <f t="shared" si="22"/>
        <v>8.3021826341371133E-2</v>
      </c>
      <c r="CA76" s="2">
        <f t="shared" si="22"/>
        <v>8.2882305791582775E-2</v>
      </c>
      <c r="CB76" s="2">
        <f t="shared" si="22"/>
        <v>8.2742478545713136E-2</v>
      </c>
      <c r="CC76" s="2">
        <f t="shared" si="22"/>
        <v>8.2602077721615375E-2</v>
      </c>
      <c r="CD76" s="2">
        <f t="shared" si="22"/>
        <v>8.2460864095561678E-2</v>
      </c>
    </row>
    <row r="77" spans="1:82" ht="13">
      <c r="A77" s="9" t="s">
        <v>19</v>
      </c>
      <c r="B77" s="11">
        <f>Bilogito!B182</f>
        <v>0.14422733405353019</v>
      </c>
      <c r="C77" s="11">
        <f>Bilogito!C182</f>
        <v>0.14004880642901316</v>
      </c>
      <c r="D77" s="11">
        <f>Bilogito!D182</f>
        <v>0.1354780642469901</v>
      </c>
      <c r="E77" s="11">
        <f>Bilogito!E182</f>
        <v>0.13037881803106616</v>
      </c>
      <c r="F77" s="11">
        <f>Bilogito!F182</f>
        <v>0.12503988143023942</v>
      </c>
      <c r="G77" s="11">
        <f>Bilogito!G182</f>
        <v>0.11993782810488596</v>
      </c>
      <c r="H77" s="11">
        <f>Bilogito!H182</f>
        <v>0.11507907924771832</v>
      </c>
      <c r="I77" s="11">
        <f>Bilogito!I182</f>
        <v>0.11126415124525757</v>
      </c>
      <c r="J77" s="11">
        <f>Bilogito!J182</f>
        <v>0.10875078607866986</v>
      </c>
      <c r="K77" s="11">
        <f>Bilogito!K182</f>
        <v>0.1070108161497948</v>
      </c>
      <c r="L77" s="11">
        <f>Bilogito!L182</f>
        <v>0.10469727800685094</v>
      </c>
      <c r="M77" s="11">
        <f>Bilogito!M182</f>
        <v>0.10166500349657522</v>
      </c>
      <c r="N77" s="11">
        <f>Bilogito!N182</f>
        <v>9.8370859106649708E-2</v>
      </c>
      <c r="O77" s="11">
        <f>Bilogito!O182</f>
        <v>9.5694962955817822E-2</v>
      </c>
      <c r="P77" s="11">
        <f>Bilogito!P182</f>
        <v>9.3643296226531808E-2</v>
      </c>
      <c r="Q77" s="11">
        <f>Bilogito!Q182</f>
        <v>9.1894798455185639E-2</v>
      </c>
      <c r="R77" s="11">
        <f>Bilogito!R182</f>
        <v>9.0201855267592362E-2</v>
      </c>
      <c r="S77" s="11">
        <f>Bilogito!S182</f>
        <v>8.8480846527682608E-2</v>
      </c>
      <c r="T77" s="11">
        <f>Bilogito!T182</f>
        <v>8.6561307444435007E-2</v>
      </c>
      <c r="U77" s="11">
        <f>Bilogito!U182</f>
        <v>8.4317247705834972E-2</v>
      </c>
      <c r="V77" s="11">
        <f>Bilogito!V182</f>
        <v>8.1675939085551388E-2</v>
      </c>
      <c r="W77" s="11">
        <f>Bilogito!W182</f>
        <v>7.9070606316037725E-2</v>
      </c>
      <c r="X77" s="11">
        <f>Bilogito!X182</f>
        <v>7.6737082959457026E-2</v>
      </c>
      <c r="Y77" s="11">
        <f>Bilogito!Y182</f>
        <v>7.5212608513793328E-2</v>
      </c>
      <c r="Z77" s="11">
        <f>Bilogito!Z182</f>
        <v>7.40453133851951E-2</v>
      </c>
      <c r="AA77" s="11">
        <f>Bilogito!AA182</f>
        <v>7.2976203435075479E-2</v>
      </c>
      <c r="AB77" s="11">
        <f>Bilogito!AB182</f>
        <v>7.1605464377888159E-2</v>
      </c>
      <c r="AC77" s="11">
        <f>Bilogito!AC182</f>
        <v>7.0923454333001193E-2</v>
      </c>
      <c r="AD77" s="11">
        <f>Bilogito!AD182</f>
        <v>7.1540492009310314E-2</v>
      </c>
      <c r="AE77" s="11">
        <f>Bilogito!AE182</f>
        <v>7.2508705859523764E-2</v>
      </c>
      <c r="AF77" s="2">
        <f t="shared" ref="AF77:CD77" si="23">B67</f>
        <v>6.6025928367103803E-2</v>
      </c>
      <c r="AG77" s="2">
        <f t="shared" si="23"/>
        <v>6.4182135256837192E-2</v>
      </c>
      <c r="AH77" s="2">
        <f t="shared" si="23"/>
        <v>6.2583918830455235E-2</v>
      </c>
      <c r="AI77" s="2">
        <f t="shared" si="23"/>
        <v>6.1337927495683363E-2</v>
      </c>
      <c r="AJ77" s="2">
        <f t="shared" si="23"/>
        <v>6.0197699896212008E-2</v>
      </c>
      <c r="AK77" s="2">
        <f t="shared" si="23"/>
        <v>5.8973457290354955E-2</v>
      </c>
      <c r="AL77" s="2">
        <f t="shared" si="23"/>
        <v>5.7702043494075483E-2</v>
      </c>
      <c r="AM77" s="2">
        <f t="shared" si="23"/>
        <v>5.6506491913120696E-2</v>
      </c>
      <c r="AN77" s="2">
        <f t="shared" si="23"/>
        <v>5.5429659117037913E-2</v>
      </c>
      <c r="AO77" s="2">
        <f t="shared" si="23"/>
        <v>5.4428208182810231E-2</v>
      </c>
      <c r="AP77" s="2">
        <f t="shared" si="23"/>
        <v>5.3454984079864376E-2</v>
      </c>
      <c r="AQ77" s="2">
        <f t="shared" si="23"/>
        <v>5.2506186843908662E-2</v>
      </c>
      <c r="AR77" s="2">
        <f t="shared" si="23"/>
        <v>5.1602467758085899E-2</v>
      </c>
      <c r="AS77" s="2">
        <f t="shared" si="23"/>
        <v>5.0753958055051084E-2</v>
      </c>
      <c r="AT77" s="2">
        <f t="shared" si="23"/>
        <v>4.9952574940690657E-2</v>
      </c>
      <c r="AU77" s="2">
        <f t="shared" si="23"/>
        <v>4.9186235590810298E-2</v>
      </c>
      <c r="AV77" s="2">
        <f t="shared" si="23"/>
        <v>4.8450278789351833E-2</v>
      </c>
      <c r="AW77" s="2">
        <f t="shared" si="23"/>
        <v>4.7746047517142204E-2</v>
      </c>
      <c r="AX77" s="2">
        <f t="shared" si="23"/>
        <v>4.7074213871969382E-2</v>
      </c>
      <c r="AY77" s="2">
        <f t="shared" si="23"/>
        <v>4.6432106746731774E-2</v>
      </c>
      <c r="AZ77" s="2">
        <f t="shared" si="23"/>
        <v>4.5815792289851054E-2</v>
      </c>
      <c r="BA77" s="2">
        <f t="shared" si="23"/>
        <v>4.5222531365687345E-2</v>
      </c>
      <c r="BB77" s="2">
        <f t="shared" si="23"/>
        <v>4.4650983221058371E-2</v>
      </c>
      <c r="BC77" s="2">
        <f t="shared" si="23"/>
        <v>4.4100044104866939E-2</v>
      </c>
      <c r="BD77" s="2">
        <f t="shared" si="23"/>
        <v>4.3568142300363918E-2</v>
      </c>
      <c r="BE77" s="2">
        <f t="shared" si="23"/>
        <v>4.3053467270745119E-2</v>
      </c>
      <c r="BF77" s="2">
        <f t="shared" si="23"/>
        <v>4.2554444214393798E-2</v>
      </c>
      <c r="BG77" s="2">
        <f t="shared" si="23"/>
        <v>4.2069856216496178E-2</v>
      </c>
      <c r="BH77" s="2">
        <f t="shared" si="23"/>
        <v>4.1598658318749648E-2</v>
      </c>
      <c r="BI77" s="2">
        <f t="shared" si="23"/>
        <v>4.1139812885271743E-2</v>
      </c>
      <c r="BJ77" s="2">
        <f t="shared" si="23"/>
        <v>4.0692293301699947E-2</v>
      </c>
      <c r="BK77" s="2">
        <f t="shared" si="23"/>
        <v>4.0255163489264785E-2</v>
      </c>
      <c r="BL77" s="2">
        <f t="shared" si="23"/>
        <v>3.9827610748509559E-2</v>
      </c>
      <c r="BM77" s="2">
        <f t="shared" si="23"/>
        <v>3.9408916086391847E-2</v>
      </c>
      <c r="BN77" s="2">
        <f t="shared" si="23"/>
        <v>3.8998416367357507E-2</v>
      </c>
      <c r="BO77" s="2">
        <f t="shared" si="23"/>
        <v>3.859549438021375E-2</v>
      </c>
      <c r="BP77" s="2">
        <f t="shared" si="23"/>
        <v>3.8199587745807589E-2</v>
      </c>
      <c r="BQ77" s="2">
        <f t="shared" si="23"/>
        <v>3.7810193641524388E-2</v>
      </c>
      <c r="BR77" s="2">
        <f t="shared" si="23"/>
        <v>3.7426862105730832E-2</v>
      </c>
      <c r="BS77" s="2">
        <f t="shared" si="23"/>
        <v>3.7049185899007846E-2</v>
      </c>
      <c r="BT77" s="2">
        <f t="shared" si="23"/>
        <v>3.6676794700281769E-2</v>
      </c>
      <c r="BU77" s="2">
        <f t="shared" si="23"/>
        <v>3.6309353578351286E-2</v>
      </c>
      <c r="BV77" s="2">
        <f t="shared" si="23"/>
        <v>3.5946561745226334E-2</v>
      </c>
      <c r="BW77" s="2">
        <f t="shared" si="23"/>
        <v>3.5588149551181648E-2</v>
      </c>
      <c r="BX77" s="2">
        <f t="shared" si="23"/>
        <v>3.523387468302544E-2</v>
      </c>
      <c r="BY77" s="2">
        <f t="shared" si="23"/>
        <v>3.4883519080301378E-2</v>
      </c>
      <c r="BZ77" s="2">
        <f t="shared" si="23"/>
        <v>3.4536886846022484E-2</v>
      </c>
      <c r="CA77" s="2">
        <f t="shared" si="23"/>
        <v>3.4193802510976597E-2</v>
      </c>
      <c r="CB77" s="2">
        <f t="shared" si="23"/>
        <v>3.3854109166709591E-2</v>
      </c>
      <c r="CC77" s="2">
        <f t="shared" si="23"/>
        <v>3.351766652830071E-2</v>
      </c>
      <c r="CD77" s="2">
        <f t="shared" si="23"/>
        <v>3.318434919064063E-2</v>
      </c>
    </row>
    <row r="78" spans="1:82" ht="13">
      <c r="A78" s="9" t="s">
        <v>20</v>
      </c>
      <c r="B78" s="11">
        <f>Bilogito!B183</f>
        <v>8.6839766635681756E-2</v>
      </c>
      <c r="C78" s="11">
        <f>Bilogito!C183</f>
        <v>8.3628713373231439E-2</v>
      </c>
      <c r="D78" s="11">
        <f>Bilogito!D183</f>
        <v>8.0339534237256122E-2</v>
      </c>
      <c r="E78" s="11">
        <f>Bilogito!E183</f>
        <v>7.6797010404985211E-2</v>
      </c>
      <c r="F78" s="11">
        <f>Bilogito!F183</f>
        <v>7.3117927233087146E-2</v>
      </c>
      <c r="G78" s="11">
        <f>Bilogito!G183</f>
        <v>6.9613245074797742E-2</v>
      </c>
      <c r="H78" s="11">
        <f>Bilogito!H183</f>
        <v>6.6291568981138818E-2</v>
      </c>
      <c r="I78" s="11">
        <f>Bilogito!I183</f>
        <v>6.3452784866287734E-2</v>
      </c>
      <c r="J78" s="11">
        <f>Bilogito!J183</f>
        <v>6.112601004444089E-2</v>
      </c>
      <c r="K78" s="11">
        <f>Bilogito!K183</f>
        <v>5.9019394079487031E-2</v>
      </c>
      <c r="L78" s="11">
        <f>Bilogito!L183</f>
        <v>5.6721591937788453E-2</v>
      </c>
      <c r="M78" s="11">
        <f>Bilogito!M183</f>
        <v>5.4307721667246511E-2</v>
      </c>
      <c r="N78" s="11">
        <f>Bilogito!N183</f>
        <v>5.1949759307975643E-2</v>
      </c>
      <c r="O78" s="11">
        <f>Bilogito!O183</f>
        <v>4.9903236656354606E-2</v>
      </c>
      <c r="P78" s="11">
        <f>Bilogito!P183</f>
        <v>4.8144247332866763E-2</v>
      </c>
      <c r="Q78" s="11">
        <f>Bilogito!Q183</f>
        <v>4.6668405845286948E-2</v>
      </c>
      <c r="R78" s="11">
        <f>Bilogito!R183</f>
        <v>4.5337662676966352E-2</v>
      </c>
      <c r="S78" s="11">
        <f>Bilogito!S183</f>
        <v>4.4005753115833934E-2</v>
      </c>
      <c r="T78" s="11">
        <f>Bilogito!T183</f>
        <v>4.2504219382002849E-2</v>
      </c>
      <c r="U78" s="11">
        <f>Bilogito!U183</f>
        <v>4.0798734070770129E-2</v>
      </c>
      <c r="V78" s="11">
        <f>Bilogito!V183</f>
        <v>3.9007450216999272E-2</v>
      </c>
      <c r="W78" s="11">
        <f>Bilogito!W183</f>
        <v>3.7389509005544629E-2</v>
      </c>
      <c r="X78" s="11">
        <f>Bilogito!X183</f>
        <v>3.5954987166030475E-2</v>
      </c>
      <c r="Y78" s="11">
        <f>Bilogito!Y183</f>
        <v>3.4810553455446744E-2</v>
      </c>
      <c r="Z78" s="11">
        <f>Bilogito!Z183</f>
        <v>3.3854021091059006E-2</v>
      </c>
      <c r="AA78" s="11">
        <f>Bilogito!AA183</f>
        <v>3.3163897478146714E-2</v>
      </c>
      <c r="AB78" s="11">
        <f>Bilogito!AB183</f>
        <v>3.260854844052196E-2</v>
      </c>
      <c r="AC78" s="11">
        <f>Bilogito!AC183</f>
        <v>3.2548642695544368E-2</v>
      </c>
      <c r="AD78" s="11">
        <f>Bilogito!AD183</f>
        <v>3.3264011015018531E-2</v>
      </c>
      <c r="AE78" s="11">
        <f>Bilogito!AE183</f>
        <v>3.465927940358926E-2</v>
      </c>
      <c r="AF78" s="2">
        <f t="shared" ref="AF78:CD78" si="24">B68</f>
        <v>2.8971995521692356E-2</v>
      </c>
      <c r="AG78" s="2">
        <f t="shared" si="24"/>
        <v>2.7872579940496283E-2</v>
      </c>
      <c r="AH78" s="2">
        <f t="shared" si="24"/>
        <v>2.6898830581641092E-2</v>
      </c>
      <c r="AI78" s="2">
        <f t="shared" si="24"/>
        <v>2.6092511647845186E-2</v>
      </c>
      <c r="AJ78" s="2">
        <f t="shared" si="24"/>
        <v>2.5344942747728381E-2</v>
      </c>
      <c r="AK78" s="2">
        <f t="shared" si="24"/>
        <v>2.4575428538702947E-2</v>
      </c>
      <c r="AL78" s="2">
        <f t="shared" si="24"/>
        <v>2.3800015526013369E-2</v>
      </c>
      <c r="AM78" s="2">
        <f t="shared" si="24"/>
        <v>2.3069296186660766E-2</v>
      </c>
      <c r="AN78" s="2">
        <f t="shared" si="24"/>
        <v>2.2399408455102462E-2</v>
      </c>
      <c r="AO78" s="2">
        <f t="shared" si="24"/>
        <v>2.1771336091541502E-2</v>
      </c>
      <c r="AP78" s="2">
        <f t="shared" si="24"/>
        <v>2.1165292941277117E-2</v>
      </c>
      <c r="AQ78" s="2">
        <f t="shared" si="24"/>
        <v>2.0579266535410042E-2</v>
      </c>
      <c r="AR78" s="2">
        <f t="shared" si="24"/>
        <v>2.0020802530307732E-2</v>
      </c>
      <c r="AS78" s="2">
        <f t="shared" si="24"/>
        <v>1.9493093080028716E-2</v>
      </c>
      <c r="AT78" s="2">
        <f t="shared" si="24"/>
        <v>1.8992264230502095E-2</v>
      </c>
      <c r="AU78" s="2">
        <f t="shared" si="24"/>
        <v>1.8513077961389422E-2</v>
      </c>
      <c r="AV78" s="2">
        <f t="shared" si="24"/>
        <v>1.8053259456453374E-2</v>
      </c>
      <c r="AW78" s="2">
        <f t="shared" si="24"/>
        <v>1.7612830145279541E-2</v>
      </c>
      <c r="AX78" s="2">
        <f t="shared" si="24"/>
        <v>1.7191557034770377E-2</v>
      </c>
      <c r="AY78" s="2">
        <f t="shared" si="24"/>
        <v>1.6787999078187562E-2</v>
      </c>
      <c r="AZ78" s="2">
        <f t="shared" si="24"/>
        <v>1.6400312108849929E-2</v>
      </c>
      <c r="BA78" s="2">
        <f t="shared" si="24"/>
        <v>1.6027140874566158E-2</v>
      </c>
      <c r="BB78" s="2">
        <f t="shared" si="24"/>
        <v>1.5667667664035736E-2</v>
      </c>
      <c r="BC78" s="2">
        <f t="shared" si="24"/>
        <v>1.5321183232104397E-2</v>
      </c>
      <c r="BD78" s="2">
        <f t="shared" si="24"/>
        <v>1.4986839528648047E-2</v>
      </c>
      <c r="BE78" s="2">
        <f t="shared" si="24"/>
        <v>1.4663735090749714E-2</v>
      </c>
      <c r="BF78" s="2">
        <f t="shared" si="24"/>
        <v>1.4351078325088747E-2</v>
      </c>
      <c r="BG78" s="2">
        <f t="shared" si="24"/>
        <v>1.404822355719516E-2</v>
      </c>
      <c r="BH78" s="2">
        <f t="shared" si="24"/>
        <v>1.3754602969903764E-2</v>
      </c>
      <c r="BI78" s="2">
        <f t="shared" si="24"/>
        <v>1.3469669348768356E-2</v>
      </c>
      <c r="BJ78" s="2">
        <f t="shared" si="24"/>
        <v>1.3192896675719009E-2</v>
      </c>
      <c r="BK78" s="2">
        <f t="shared" si="24"/>
        <v>1.2923805009338252E-2</v>
      </c>
      <c r="BL78" s="2">
        <f t="shared" si="24"/>
        <v>1.2661969053762243E-2</v>
      </c>
      <c r="BM78" s="2">
        <f t="shared" si="24"/>
        <v>1.240700649677039E-2</v>
      </c>
      <c r="BN78" s="2">
        <f t="shared" si="24"/>
        <v>1.2158564419030153E-2</v>
      </c>
      <c r="BO78" s="2">
        <f t="shared" si="24"/>
        <v>1.1916315066722786E-2</v>
      </c>
      <c r="BP78" s="2">
        <f t="shared" si="24"/>
        <v>1.1679957599898694E-2</v>
      </c>
      <c r="BQ78" s="2">
        <f t="shared" si="24"/>
        <v>1.1449218447005699E-2</v>
      </c>
      <c r="BR78" s="2">
        <f t="shared" si="24"/>
        <v>1.1223848186186765E-2</v>
      </c>
      <c r="BS78" s="2">
        <f t="shared" si="24"/>
        <v>1.1003617555516133E-2</v>
      </c>
      <c r="BT78" s="2">
        <f t="shared" si="24"/>
        <v>1.0788314943226619E-2</v>
      </c>
      <c r="BU78" s="2">
        <f t="shared" si="24"/>
        <v>1.0577745247167234E-2</v>
      </c>
      <c r="BV78" s="2">
        <f t="shared" si="24"/>
        <v>1.0371728863067949E-2</v>
      </c>
      <c r="BW78" s="2">
        <f t="shared" si="24"/>
        <v>1.0170100211503892E-2</v>
      </c>
      <c r="BX78" s="2">
        <f t="shared" si="24"/>
        <v>9.972706107877127E-3</v>
      </c>
      <c r="BY78" s="2">
        <f t="shared" si="24"/>
        <v>9.7794044126104825E-3</v>
      </c>
      <c r="BZ78" s="2">
        <f t="shared" si="24"/>
        <v>9.5900630220368994E-3</v>
      </c>
      <c r="CA78" s="2">
        <f t="shared" si="24"/>
        <v>9.4045590029564318E-3</v>
      </c>
      <c r="CB78" s="2">
        <f t="shared" si="24"/>
        <v>9.2227777306283891E-3</v>
      </c>
      <c r="CC78" s="2">
        <f t="shared" si="24"/>
        <v>9.0446120476567419E-3</v>
      </c>
      <c r="CD78" s="2">
        <f t="shared" si="24"/>
        <v>8.8699615140742406E-3</v>
      </c>
    </row>
    <row r="79" spans="1:82" ht="13">
      <c r="A79" s="9" t="s">
        <v>21</v>
      </c>
      <c r="B79" s="11">
        <f>Bilogito!B184</f>
        <v>3.2075580810994687E-2</v>
      </c>
      <c r="C79" s="11">
        <f>Bilogito!C184</f>
        <v>3.0597675024843323E-2</v>
      </c>
      <c r="D79" s="11">
        <f>Bilogito!D184</f>
        <v>2.9168793196886079E-2</v>
      </c>
      <c r="E79" s="11">
        <f>Bilogito!E184</f>
        <v>2.7685330708107046E-2</v>
      </c>
      <c r="F79" s="11">
        <f>Bilogito!F184</f>
        <v>2.6159845549070831E-2</v>
      </c>
      <c r="G79" s="11">
        <f>Bilogito!G184</f>
        <v>2.4706514209369E-2</v>
      </c>
      <c r="H79" s="11">
        <f>Bilogito!H184</f>
        <v>2.3340332870299255E-2</v>
      </c>
      <c r="I79" s="11">
        <f>Bilogito!I184</f>
        <v>2.2078426276634228E-2</v>
      </c>
      <c r="J79" s="11">
        <f>Bilogito!J184</f>
        <v>2.0881406217943606E-2</v>
      </c>
      <c r="K79" s="11">
        <f>Bilogito!K184</f>
        <v>1.9670000322746076E-2</v>
      </c>
      <c r="L79" s="11">
        <f>Bilogito!L184</f>
        <v>1.8473391776410181E-2</v>
      </c>
      <c r="M79" s="11">
        <f>Bilogito!M184</f>
        <v>1.7374922335170871E-2</v>
      </c>
      <c r="N79" s="11">
        <f>Bilogito!N184</f>
        <v>1.6384055360558234E-2</v>
      </c>
      <c r="O79" s="11">
        <f>Bilogito!O184</f>
        <v>1.5480457163543996E-2</v>
      </c>
      <c r="P79" s="11">
        <f>Bilogito!P184</f>
        <v>1.4654469814153118E-2</v>
      </c>
      <c r="Q79" s="11">
        <f>Bilogito!Q184</f>
        <v>1.3976975309344502E-2</v>
      </c>
      <c r="R79" s="11">
        <f>Bilogito!R184</f>
        <v>1.3402097935874499E-2</v>
      </c>
      <c r="S79" s="11">
        <f>Bilogito!S184</f>
        <v>1.284152770327035E-2</v>
      </c>
      <c r="T79" s="11">
        <f>Bilogito!T184</f>
        <v>1.2212518727829483E-2</v>
      </c>
      <c r="U79" s="11">
        <f>Bilogito!U184</f>
        <v>1.1515482917625405E-2</v>
      </c>
      <c r="V79" s="11">
        <f>Bilogito!V184</f>
        <v>1.0839549351160129E-2</v>
      </c>
      <c r="W79" s="11">
        <f>Bilogito!W184</f>
        <v>1.0266856010978643E-2</v>
      </c>
      <c r="X79" s="11">
        <f>Bilogito!X184</f>
        <v>9.7598676715141483E-3</v>
      </c>
      <c r="Y79" s="11">
        <f>Bilogito!Y184</f>
        <v>9.2935990474302069E-3</v>
      </c>
      <c r="Z79" s="11">
        <f>Bilogito!Z184</f>
        <v>8.886679258872085E-3</v>
      </c>
      <c r="AA79" s="11">
        <f>Bilogito!AA184</f>
        <v>8.6263398940873738E-3</v>
      </c>
      <c r="AB79" s="11">
        <f>Bilogito!AB184</f>
        <v>8.4946196426331673E-3</v>
      </c>
      <c r="AC79" s="11">
        <f>Bilogito!AC184</f>
        <v>8.552694453642859E-3</v>
      </c>
      <c r="AD79" s="11">
        <f>Bilogito!AD184</f>
        <v>8.8736449422680691E-3</v>
      </c>
      <c r="AE79" s="11">
        <f>Bilogito!AE184</f>
        <v>9.5643515456243725E-3</v>
      </c>
      <c r="AF79" s="2">
        <f t="shared" ref="AF79:CD79" si="25">B69</f>
        <v>7.2191982959961985E-3</v>
      </c>
      <c r="AG79" s="2">
        <f t="shared" si="25"/>
        <v>6.8554804656227137E-3</v>
      </c>
      <c r="AH79" s="2">
        <f t="shared" si="25"/>
        <v>6.5306421866479477E-3</v>
      </c>
      <c r="AI79" s="2">
        <f t="shared" si="25"/>
        <v>6.2533332392475712E-3</v>
      </c>
      <c r="AJ79" s="2">
        <f t="shared" si="25"/>
        <v>5.9961359963667648E-3</v>
      </c>
      <c r="AK79" s="2">
        <f t="shared" si="25"/>
        <v>5.739536891540829E-3</v>
      </c>
      <c r="AL79" s="2">
        <f t="shared" si="25"/>
        <v>5.487310664562422E-3</v>
      </c>
      <c r="AM79" s="2">
        <f t="shared" si="25"/>
        <v>5.2509032916537831E-3</v>
      </c>
      <c r="AN79" s="2">
        <f t="shared" si="25"/>
        <v>5.0334325081394541E-3</v>
      </c>
      <c r="AO79" s="2">
        <f t="shared" si="25"/>
        <v>4.8300465648461535E-3</v>
      </c>
      <c r="AP79" s="2">
        <f t="shared" si="25"/>
        <v>4.6359571785056179E-3</v>
      </c>
      <c r="AQ79" s="2">
        <f t="shared" si="25"/>
        <v>4.4504521533285882E-3</v>
      </c>
      <c r="AR79" s="2">
        <f t="shared" si="25"/>
        <v>4.2748896663684817E-3</v>
      </c>
      <c r="AS79" s="2">
        <f t="shared" si="25"/>
        <v>4.1096354391935482E-3</v>
      </c>
      <c r="AT79" s="2">
        <f t="shared" si="25"/>
        <v>3.9535586635382324E-3</v>
      </c>
      <c r="AU79" s="2">
        <f t="shared" si="25"/>
        <v>3.8052975926125754E-3</v>
      </c>
      <c r="AV79" s="2">
        <f t="shared" si="25"/>
        <v>3.6641537351186451E-3</v>
      </c>
      <c r="AW79" s="2">
        <f t="shared" si="25"/>
        <v>3.529918317518828E-3</v>
      </c>
      <c r="AX79" s="2">
        <f t="shared" si="25"/>
        <v>3.4023376701127644E-3</v>
      </c>
      <c r="AY79" s="2">
        <f t="shared" si="25"/>
        <v>3.2809298533142003E-3</v>
      </c>
      <c r="AZ79" s="2">
        <f t="shared" si="25"/>
        <v>3.1651545051741455E-3</v>
      </c>
      <c r="BA79" s="2">
        <f t="shared" si="25"/>
        <v>3.0545870585938096E-3</v>
      </c>
      <c r="BB79" s="2">
        <f t="shared" si="25"/>
        <v>2.9489213397096816E-3</v>
      </c>
      <c r="BC79" s="2">
        <f t="shared" si="25"/>
        <v>2.8478829580547609E-3</v>
      </c>
      <c r="BD79" s="2">
        <f t="shared" si="25"/>
        <v>2.7511822884464807E-3</v>
      </c>
      <c r="BE79" s="2">
        <f t="shared" si="25"/>
        <v>2.6585312020612631E-3</v>
      </c>
      <c r="BF79" s="2">
        <f t="shared" si="25"/>
        <v>2.5696725406206054E-3</v>
      </c>
      <c r="BG79" s="2">
        <f t="shared" si="25"/>
        <v>2.4843849106274954E-3</v>
      </c>
      <c r="BH79" s="2">
        <f t="shared" si="25"/>
        <v>2.4024688834648139E-3</v>
      </c>
      <c r="BI79" s="2">
        <f t="shared" si="25"/>
        <v>2.3237360140355295E-3</v>
      </c>
      <c r="BJ79" s="2">
        <f t="shared" si="25"/>
        <v>2.2480084880501746E-3</v>
      </c>
      <c r="BK79" s="2">
        <f t="shared" si="25"/>
        <v>2.1751228658476785E-3</v>
      </c>
      <c r="BL79" s="2">
        <f t="shared" si="25"/>
        <v>2.1049308227253198E-3</v>
      </c>
      <c r="BM79" s="2">
        <f t="shared" si="25"/>
        <v>2.0372964886541918E-3</v>
      </c>
      <c r="BN79" s="2">
        <f t="shared" si="25"/>
        <v>1.9720936442239891E-3</v>
      </c>
      <c r="BO79" s="2">
        <f t="shared" si="25"/>
        <v>1.9092046010506666E-3</v>
      </c>
      <c r="BP79" s="2">
        <f t="shared" si="25"/>
        <v>1.8485200939906883E-3</v>
      </c>
      <c r="BQ79" s="2">
        <f t="shared" si="25"/>
        <v>1.7899389494779924E-3</v>
      </c>
      <c r="BR79" s="2">
        <f t="shared" si="25"/>
        <v>1.7333672278384538E-3</v>
      </c>
      <c r="BS79" s="2">
        <f t="shared" si="25"/>
        <v>1.678717281839762E-3</v>
      </c>
      <c r="BT79" s="2">
        <f t="shared" si="25"/>
        <v>1.6259070949398049E-3</v>
      </c>
      <c r="BU79" s="2">
        <f t="shared" si="25"/>
        <v>1.5748598613133998E-3</v>
      </c>
      <c r="BV79" s="2">
        <f t="shared" si="25"/>
        <v>1.5255036062938084E-3</v>
      </c>
      <c r="BW79" s="2">
        <f t="shared" si="25"/>
        <v>1.477770758982218E-3</v>
      </c>
      <c r="BX79" s="2">
        <f t="shared" si="25"/>
        <v>1.4315977255773655E-3</v>
      </c>
      <c r="BY79" s="2">
        <f t="shared" si="25"/>
        <v>1.3869245263388322E-3</v>
      </c>
      <c r="BZ79" s="2">
        <f t="shared" si="25"/>
        <v>1.34369450028224E-3</v>
      </c>
      <c r="CA79" s="2">
        <f t="shared" si="25"/>
        <v>1.3018540454607928E-3</v>
      </c>
      <c r="CB79" s="2">
        <f t="shared" si="25"/>
        <v>1.2613523733213201E-3</v>
      </c>
      <c r="CC79" s="2">
        <f t="shared" si="25"/>
        <v>1.2221412788856944E-3</v>
      </c>
      <c r="CD79" s="2">
        <f t="shared" si="25"/>
        <v>1.1841749353634127E-3</v>
      </c>
    </row>
    <row r="80" spans="1:82" s="7" customFormat="1" ht="13">
      <c r="A80" s="4" t="s">
        <v>22</v>
      </c>
      <c r="B80" s="11">
        <f>Bilogito!B185</f>
        <v>6.2392397215534053E-3</v>
      </c>
      <c r="C80" s="11">
        <f>Bilogito!C185</f>
        <v>5.8755957940818618E-3</v>
      </c>
      <c r="D80" s="11">
        <f>Bilogito!D185</f>
        <v>5.5439640623317164E-3</v>
      </c>
      <c r="E80" s="11">
        <f>Bilogito!E185</f>
        <v>5.2136650129464054E-3</v>
      </c>
      <c r="F80" s="11">
        <f>Bilogito!F185</f>
        <v>4.8783609547380603E-3</v>
      </c>
      <c r="G80" s="11">
        <f>Bilogito!G185</f>
        <v>4.5588332367058199E-3</v>
      </c>
      <c r="H80" s="11">
        <f>Bilogito!H185</f>
        <v>4.2620427486824864E-3</v>
      </c>
      <c r="I80" s="11">
        <f>Bilogito!I185</f>
        <v>3.9666695680166406E-3</v>
      </c>
      <c r="J80" s="11">
        <f>Bilogito!J185</f>
        <v>3.6550015678267966E-3</v>
      </c>
      <c r="K80" s="11">
        <f>Bilogito!K185</f>
        <v>3.3232275215449893E-3</v>
      </c>
      <c r="L80" s="11">
        <f>Bilogito!L185</f>
        <v>3.0201297750100655E-3</v>
      </c>
      <c r="M80" s="11">
        <f>Bilogito!M185</f>
        <v>2.7699433509668055E-3</v>
      </c>
      <c r="N80" s="11">
        <f>Bilogito!N185</f>
        <v>2.559853802605162E-3</v>
      </c>
      <c r="O80" s="11">
        <f>Bilogito!O185</f>
        <v>2.3621257197593065E-3</v>
      </c>
      <c r="P80" s="11">
        <f>Bilogito!P185</f>
        <v>2.1760133528039688E-3</v>
      </c>
      <c r="Q80" s="11">
        <f>Bilogito!Q185</f>
        <v>2.027883298144603E-3</v>
      </c>
      <c r="R80" s="11">
        <f>Bilogito!R185</f>
        <v>1.9090149886578684E-3</v>
      </c>
      <c r="S80" s="11">
        <f>Bilogito!S185</f>
        <v>1.7966287949412649E-3</v>
      </c>
      <c r="T80" s="11">
        <f>Bilogito!T185</f>
        <v>1.6723046327083092E-3</v>
      </c>
      <c r="U80" s="11">
        <f>Bilogito!U185</f>
        <v>1.5384035744483364E-3</v>
      </c>
      <c r="V80" s="11">
        <f>Bilogito!V185</f>
        <v>1.4173440312897666E-3</v>
      </c>
      <c r="W80" s="11">
        <f>Bilogito!W185</f>
        <v>1.3205716406325778E-3</v>
      </c>
      <c r="X80" s="11">
        <f>Bilogito!X185</f>
        <v>1.235237005297799E-3</v>
      </c>
      <c r="Y80" s="11">
        <f>Bilogito!Y185</f>
        <v>1.1485106296279346E-3</v>
      </c>
      <c r="Z80" s="11">
        <f>Bilogito!Z185</f>
        <v>1.0717245524202214E-3</v>
      </c>
      <c r="AA80" s="11">
        <f>Bilogito!AA185</f>
        <v>1.0263687753760925E-3</v>
      </c>
      <c r="AB80" s="11">
        <f>Bilogito!AB185</f>
        <v>1.0122997146269257E-3</v>
      </c>
      <c r="AC80" s="11">
        <f>Bilogito!AC185</f>
        <v>1.0311243362160088E-3</v>
      </c>
      <c r="AD80" s="11">
        <f>Bilogito!AD185</f>
        <v>1.0919750393914951E-3</v>
      </c>
      <c r="AE80" s="11">
        <f>Bilogito!AE185</f>
        <v>1.2335861003657162E-3</v>
      </c>
      <c r="AF80" s="2">
        <f t="shared" ref="AF80:CD80" si="26">B70</f>
        <v>8.0924895904412758E-4</v>
      </c>
      <c r="AG80" s="2">
        <f t="shared" si="26"/>
        <v>7.5462156350015986E-4</v>
      </c>
      <c r="AH80" s="2">
        <f t="shared" si="26"/>
        <v>7.0593274876379125E-4</v>
      </c>
      <c r="AI80" s="2">
        <f t="shared" si="26"/>
        <v>6.6382366366702782E-4</v>
      </c>
      <c r="AJ80" s="2">
        <f t="shared" si="26"/>
        <v>6.2512022095913148E-4</v>
      </c>
      <c r="AK80" s="2">
        <f t="shared" si="26"/>
        <v>5.8767424551672853E-4</v>
      </c>
      <c r="AL80" s="2">
        <f t="shared" si="26"/>
        <v>5.5182774856563847E-4</v>
      </c>
      <c r="AM80" s="2">
        <f t="shared" si="26"/>
        <v>5.1865464317257782E-4</v>
      </c>
      <c r="AN80" s="2">
        <f t="shared" si="26"/>
        <v>4.8834246917643512E-4</v>
      </c>
      <c r="AO80" s="2">
        <f t="shared" si="26"/>
        <v>4.6030208700037896E-4</v>
      </c>
      <c r="AP80" s="2">
        <f t="shared" si="26"/>
        <v>4.3398775316707107E-4</v>
      </c>
      <c r="AQ80" s="2">
        <f t="shared" si="26"/>
        <v>4.0926381689172005E-4</v>
      </c>
      <c r="AR80" s="2">
        <f t="shared" si="26"/>
        <v>3.8618880844915683E-4</v>
      </c>
      <c r="AS80" s="2">
        <f t="shared" si="26"/>
        <v>3.6472684041056574E-4</v>
      </c>
      <c r="AT80" s="2">
        <f t="shared" si="26"/>
        <v>3.4471172513480462E-4</v>
      </c>
      <c r="AU80" s="2">
        <f t="shared" si="26"/>
        <v>3.2596684570443364E-4</v>
      </c>
      <c r="AV80" s="2">
        <f t="shared" si="26"/>
        <v>3.083817221881644E-4</v>
      </c>
      <c r="AW80" s="2">
        <f t="shared" si="26"/>
        <v>2.9189231409006524E-4</v>
      </c>
      <c r="AX80" s="2">
        <f t="shared" si="26"/>
        <v>2.7643378822638632E-4</v>
      </c>
      <c r="AY80" s="2">
        <f t="shared" si="26"/>
        <v>2.6192608007634741E-4</v>
      </c>
      <c r="AZ80" s="2">
        <f t="shared" si="26"/>
        <v>2.482886779183001E-4</v>
      </c>
      <c r="BA80" s="2">
        <f t="shared" si="26"/>
        <v>2.3545427095198731E-4</v>
      </c>
      <c r="BB80" s="2">
        <f t="shared" si="26"/>
        <v>2.2336798608684505E-4</v>
      </c>
      <c r="BC80" s="2">
        <f t="shared" si="26"/>
        <v>2.1198001570662915E-4</v>
      </c>
      <c r="BD80" s="2">
        <f t="shared" si="26"/>
        <v>2.0124186013722737E-4</v>
      </c>
      <c r="BE80" s="2">
        <f t="shared" si="26"/>
        <v>1.9110752517160196E-4</v>
      </c>
      <c r="BF80" s="2">
        <f t="shared" si="26"/>
        <v>1.8153549427134906E-4</v>
      </c>
      <c r="BG80" s="2">
        <f t="shared" si="26"/>
        <v>1.7248877687270396E-4</v>
      </c>
      <c r="BH80" s="2">
        <f t="shared" si="26"/>
        <v>1.6393366802301712E-4</v>
      </c>
      <c r="BI80" s="2">
        <f t="shared" si="26"/>
        <v>1.5583880938711402E-4</v>
      </c>
      <c r="BJ80" s="2">
        <f t="shared" si="26"/>
        <v>1.4817503673018133E-4</v>
      </c>
      <c r="BK80" s="2">
        <f t="shared" si="26"/>
        <v>1.4091550134836525E-4</v>
      </c>
      <c r="BL80" s="2">
        <f t="shared" si="26"/>
        <v>1.3403558112162989E-4</v>
      </c>
      <c r="BM80" s="2">
        <f t="shared" si="26"/>
        <v>1.2751258053138209E-4</v>
      </c>
      <c r="BN80" s="2">
        <f t="shared" si="26"/>
        <v>1.2132544542939302E-4</v>
      </c>
      <c r="BO80" s="2">
        <f t="shared" si="26"/>
        <v>1.1545460277957511E-4</v>
      </c>
      <c r="BP80" s="2">
        <f t="shared" si="26"/>
        <v>1.098818718741132E-4</v>
      </c>
      <c r="BQ80" s="2">
        <f t="shared" si="26"/>
        <v>1.0459036702050368E-4</v>
      </c>
      <c r="BR80" s="2">
        <f t="shared" si="26"/>
        <v>9.9564375679989624E-5</v>
      </c>
      <c r="BS80" s="2">
        <f t="shared" si="26"/>
        <v>9.4789240326756397E-5</v>
      </c>
      <c r="BT80" s="2">
        <f t="shared" si="26"/>
        <v>9.0251264292092701E-5</v>
      </c>
      <c r="BU80" s="2">
        <f t="shared" si="26"/>
        <v>8.5937637207227454E-5</v>
      </c>
      <c r="BV80" s="2">
        <f t="shared" si="26"/>
        <v>8.1836367326565114E-5</v>
      </c>
      <c r="BW80" s="2">
        <f t="shared" si="26"/>
        <v>7.7936215569518488E-5</v>
      </c>
      <c r="BX80" s="2">
        <f t="shared" si="26"/>
        <v>7.4226633870492164E-5</v>
      </c>
      <c r="BY80" s="2">
        <f t="shared" si="26"/>
        <v>7.0697710810330034E-5</v>
      </c>
      <c r="BZ80" s="2">
        <f t="shared" si="26"/>
        <v>6.7340124133559527E-5</v>
      </c>
      <c r="CA80" s="2">
        <f t="shared" si="26"/>
        <v>6.4145097980767559E-5</v>
      </c>
      <c r="CB80" s="2">
        <f t="shared" si="26"/>
        <v>6.1104363431655582E-5</v>
      </c>
      <c r="CC80" s="2">
        <f t="shared" si="26"/>
        <v>5.8210122224304449E-5</v>
      </c>
      <c r="CD80" s="2">
        <f t="shared" si="26"/>
        <v>5.5455013838308487E-5</v>
      </c>
    </row>
    <row r="82" spans="32:82"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</row>
    <row r="83" spans="32:82"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</row>
    <row r="84" spans="32:82"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</row>
    <row r="85" spans="32:82"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</row>
    <row r="86" spans="32:82"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</row>
    <row r="87" spans="32:82"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</row>
    <row r="88" spans="32:82"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</row>
  </sheetData>
  <mergeCells count="1">
    <mergeCell ref="A1:B1"/>
  </mergeCell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7420-C345-4346-ABB7-5734EF637855}">
  <sheetPr codeName="Hoja5"/>
  <dimension ref="A1:BD31"/>
  <sheetViews>
    <sheetView zoomScale="200" zoomScaleNormal="200" workbookViewId="0">
      <selection activeCell="F7" sqref="F7:BD7"/>
    </sheetView>
  </sheetViews>
  <sheetFormatPr baseColWidth="10" defaultRowHeight="15"/>
  <sheetData>
    <row r="1" spans="1:56">
      <c r="A1" t="s">
        <v>29</v>
      </c>
      <c r="B1" t="s">
        <v>14</v>
      </c>
      <c r="C1" t="s">
        <v>15</v>
      </c>
    </row>
    <row r="2" spans="1:56">
      <c r="A2">
        <v>1990</v>
      </c>
      <c r="B2">
        <v>0.92023850604534807</v>
      </c>
      <c r="C2">
        <v>0.10685606608498466</v>
      </c>
      <c r="E2" t="s">
        <v>15</v>
      </c>
      <c r="F2">
        <v>-9.0936622356322203E-2</v>
      </c>
      <c r="G2">
        <v>-9.63750038459779E-2</v>
      </c>
      <c r="H2">
        <v>-0.101813385335634</v>
      </c>
      <c r="I2">
        <v>-0.107251766825287</v>
      </c>
      <c r="J2">
        <v>-0.11269014831494301</v>
      </c>
      <c r="K2">
        <v>-0.11812852980459899</v>
      </c>
      <c r="L2">
        <v>-0.123566911294255</v>
      </c>
      <c r="M2">
        <v>-0.12900529278390799</v>
      </c>
      <c r="N2">
        <v>-0.13444367427356399</v>
      </c>
      <c r="O2">
        <v>-0.13988205576321999</v>
      </c>
      <c r="P2">
        <v>-0.145320437252874</v>
      </c>
      <c r="Q2">
        <v>-0.150758818742529</v>
      </c>
      <c r="R2">
        <v>-0.156197200232185</v>
      </c>
      <c r="S2">
        <v>-0.16163558172183901</v>
      </c>
      <c r="T2">
        <v>-0.16707396321149501</v>
      </c>
      <c r="U2">
        <v>-0.17251234470115101</v>
      </c>
      <c r="V2">
        <v>-0.17795072619080601</v>
      </c>
      <c r="W2">
        <v>-0.18338910768045999</v>
      </c>
      <c r="X2">
        <v>-0.18882748917011599</v>
      </c>
      <c r="Y2">
        <v>-0.19426587065977199</v>
      </c>
      <c r="Z2">
        <v>-0.199704252149425</v>
      </c>
      <c r="AA2">
        <v>-0.205142633639081</v>
      </c>
      <c r="AB2">
        <v>-0.210581015128737</v>
      </c>
      <c r="AC2">
        <v>-0.21601939661839101</v>
      </c>
      <c r="AD2">
        <v>-0.22145777810804601</v>
      </c>
      <c r="AE2">
        <v>-0.22689615959770201</v>
      </c>
      <c r="AF2">
        <v>-0.23233454108735799</v>
      </c>
      <c r="AG2">
        <v>-0.23777292257701199</v>
      </c>
      <c r="AH2">
        <v>-0.24321130406666699</v>
      </c>
      <c r="AI2">
        <v>-0.248649685556323</v>
      </c>
      <c r="AJ2">
        <v>-0.25408806704597697</v>
      </c>
      <c r="AK2">
        <v>-0.259526448535633</v>
      </c>
      <c r="AL2">
        <v>-0.26496483002528798</v>
      </c>
      <c r="AM2">
        <v>-0.27040321151494401</v>
      </c>
      <c r="AN2">
        <v>-0.27584159300459798</v>
      </c>
      <c r="AO2">
        <v>-0.28127997449425401</v>
      </c>
      <c r="AP2">
        <v>-0.28671835598390899</v>
      </c>
      <c r="AQ2">
        <v>-0.29215673747356302</v>
      </c>
      <c r="AR2">
        <v>-0.297595118963219</v>
      </c>
      <c r="AS2">
        <v>-0.30303350045287503</v>
      </c>
      <c r="AT2">
        <v>-0.308471881942529</v>
      </c>
      <c r="AU2">
        <v>-0.31391026343218398</v>
      </c>
      <c r="AV2">
        <v>-0.31934864492184001</v>
      </c>
      <c r="AW2">
        <v>-0.32478702641149598</v>
      </c>
      <c r="AX2">
        <v>-0.33022540790115001</v>
      </c>
      <c r="AY2">
        <v>-0.33566378939080499</v>
      </c>
      <c r="AZ2">
        <v>-0.34110217088046102</v>
      </c>
      <c r="BA2">
        <v>-0.346540552370115</v>
      </c>
      <c r="BB2">
        <v>-0.35197893385977103</v>
      </c>
      <c r="BC2">
        <v>-0.357417315349426</v>
      </c>
      <c r="BD2">
        <v>-0.36285569683907998</v>
      </c>
    </row>
    <row r="3" spans="1:56">
      <c r="A3">
        <v>1991</v>
      </c>
      <c r="B3">
        <v>0.92536845292595127</v>
      </c>
      <c r="C3">
        <v>9.6857123006373363E-2</v>
      </c>
      <c r="E3" t="s">
        <v>14</v>
      </c>
      <c r="F3">
        <v>1.1538082108160901</v>
      </c>
      <c r="G3">
        <v>1.1618729956924001</v>
      </c>
      <c r="H3">
        <v>1.1699377805687099</v>
      </c>
      <c r="I3">
        <v>1.1780025654450099</v>
      </c>
      <c r="J3">
        <v>1.1860673503213199</v>
      </c>
      <c r="K3">
        <v>1.19413213519763</v>
      </c>
      <c r="L3">
        <v>1.20219692007393</v>
      </c>
      <c r="M3">
        <v>1.21026170495024</v>
      </c>
      <c r="N3">
        <v>1.21832648982655</v>
      </c>
      <c r="O3">
        <v>1.22639127470286</v>
      </c>
      <c r="P3">
        <v>1.23445605957916</v>
      </c>
      <c r="Q3">
        <v>1.2425208444554701</v>
      </c>
      <c r="R3">
        <v>1.2505856293317801</v>
      </c>
      <c r="S3">
        <v>1.2586504142080801</v>
      </c>
      <c r="T3">
        <v>1.2667151990843899</v>
      </c>
      <c r="U3">
        <v>1.2747799839606999</v>
      </c>
      <c r="V3">
        <v>1.2828447688369999</v>
      </c>
      <c r="W3">
        <v>1.29090955371331</v>
      </c>
      <c r="X3">
        <v>1.29897433858962</v>
      </c>
      <c r="Y3">
        <v>1.30703912346592</v>
      </c>
      <c r="Z3">
        <v>1.31510390834223</v>
      </c>
      <c r="AA3">
        <v>1.32316869321854</v>
      </c>
      <c r="AB3">
        <v>1.3312334780948401</v>
      </c>
      <c r="AC3">
        <v>1.3392982629711501</v>
      </c>
      <c r="AD3">
        <v>1.3473630478474601</v>
      </c>
      <c r="AE3">
        <v>1.3554278327237701</v>
      </c>
      <c r="AF3">
        <v>1.3634926176000699</v>
      </c>
      <c r="AG3">
        <v>1.3715574024763799</v>
      </c>
      <c r="AH3">
        <v>1.3796221873526899</v>
      </c>
      <c r="AI3">
        <v>1.38768697222899</v>
      </c>
      <c r="AJ3">
        <v>1.3957517571053</v>
      </c>
      <c r="AK3">
        <v>1.40381654198161</v>
      </c>
      <c r="AL3">
        <v>1.41188132685792</v>
      </c>
      <c r="AM3">
        <v>1.41994611173422</v>
      </c>
      <c r="AN3">
        <v>1.42801089661053</v>
      </c>
      <c r="AO3">
        <v>1.4360756814868401</v>
      </c>
      <c r="AP3">
        <v>1.4441404663631401</v>
      </c>
      <c r="AQ3">
        <v>1.4522052512394501</v>
      </c>
      <c r="AR3">
        <v>1.4602700361157599</v>
      </c>
      <c r="AS3">
        <v>1.4683348209920699</v>
      </c>
      <c r="AT3">
        <v>1.4763996058683699</v>
      </c>
      <c r="AU3">
        <v>1.48446439074468</v>
      </c>
      <c r="AV3">
        <v>1.49252917562098</v>
      </c>
      <c r="AW3">
        <v>1.50059396049729</v>
      </c>
      <c r="AX3">
        <v>1.5086587453736</v>
      </c>
      <c r="AY3">
        <v>1.51672353024991</v>
      </c>
      <c r="AZ3">
        <v>1.52478831512621</v>
      </c>
      <c r="BA3">
        <v>1.5328531000025201</v>
      </c>
      <c r="BB3">
        <v>1.5409178848788301</v>
      </c>
      <c r="BC3">
        <v>1.5489826697551301</v>
      </c>
      <c r="BD3">
        <v>1.5570474546314399</v>
      </c>
    </row>
    <row r="4" spans="1:56">
      <c r="A4">
        <v>1992</v>
      </c>
      <c r="B4">
        <v>0.92945231578351994</v>
      </c>
      <c r="C4">
        <v>8.6941427920474781E-2</v>
      </c>
    </row>
    <row r="5" spans="1:56">
      <c r="A5">
        <v>1993</v>
      </c>
      <c r="B5">
        <v>0.93310262938429878</v>
      </c>
      <c r="C5">
        <v>7.5195773474316677E-2</v>
      </c>
    </row>
    <row r="6" spans="1:56">
      <c r="A6">
        <v>1994</v>
      </c>
      <c r="B6">
        <v>0.93697926102520712</v>
      </c>
      <c r="C6">
        <v>6.1796897982602059E-2</v>
      </c>
    </row>
    <row r="7" spans="1:56">
      <c r="A7">
        <v>1995</v>
      </c>
      <c r="B7">
        <v>0.94120173515901995</v>
      </c>
      <c r="C7">
        <v>4.9473366311327635E-2</v>
      </c>
      <c r="F7">
        <v>1.9854682279135301</v>
      </c>
      <c r="G7">
        <v>1.9425844596111299</v>
      </c>
      <c r="H7">
        <v>1.9067111742038001</v>
      </c>
      <c r="I7">
        <v>1.8812483225724901</v>
      </c>
      <c r="J7">
        <v>1.85878707441433</v>
      </c>
      <c r="K7">
        <v>1.83348052274602</v>
      </c>
      <c r="L7">
        <v>1.8064149920633501</v>
      </c>
      <c r="M7">
        <v>1.7814243459318699</v>
      </c>
      <c r="N7">
        <v>1.75990594737036</v>
      </c>
      <c r="O7">
        <v>1.74054179612982</v>
      </c>
      <c r="P7">
        <v>1.7218535085939699</v>
      </c>
      <c r="Q7">
        <v>1.70372667256615</v>
      </c>
      <c r="R7">
        <v>1.6868431680479901</v>
      </c>
      <c r="S7">
        <v>1.6715592400539501</v>
      </c>
      <c r="T7">
        <v>1.65763793918062</v>
      </c>
      <c r="U7">
        <v>1.64470172828529</v>
      </c>
      <c r="V7">
        <v>1.6326118448070299</v>
      </c>
      <c r="W7">
        <v>1.62142939678719</v>
      </c>
      <c r="X7">
        <v>1.6111947206019801</v>
      </c>
      <c r="Y7">
        <v>1.6018343454765001</v>
      </c>
      <c r="Z7">
        <v>1.5932287611918301</v>
      </c>
      <c r="AA7">
        <v>1.5852966794696499</v>
      </c>
      <c r="AB7">
        <v>1.57800376383576</v>
      </c>
      <c r="AC7">
        <v>1.5713231564573</v>
      </c>
      <c r="AD7">
        <v>1.56521044455324</v>
      </c>
      <c r="AE7">
        <v>1.55961121460731</v>
      </c>
      <c r="AF7">
        <v>1.5544779553915899</v>
      </c>
      <c r="AG7">
        <v>1.5497748406026599</v>
      </c>
      <c r="AH7">
        <v>1.54547131147975</v>
      </c>
      <c r="AI7">
        <v>1.5415361269558301</v>
      </c>
      <c r="AJ7">
        <v>1.53793746799444</v>
      </c>
      <c r="AK7">
        <v>1.5346459392920699</v>
      </c>
      <c r="AL7">
        <v>1.53163593542217</v>
      </c>
      <c r="AM7">
        <v>1.5288846544613901</v>
      </c>
      <c r="AN7">
        <v>1.5263707391211401</v>
      </c>
      <c r="AO7">
        <v>1.5240739475696901</v>
      </c>
      <c r="AP7">
        <v>1.5219755575899201</v>
      </c>
      <c r="AQ7">
        <v>1.5200586248583301</v>
      </c>
      <c r="AR7">
        <v>1.5183077921418699</v>
      </c>
      <c r="AS7">
        <v>1.51670894697882</v>
      </c>
      <c r="AT7">
        <v>1.5152490394557601</v>
      </c>
      <c r="AU7">
        <v>1.51391606808512</v>
      </c>
      <c r="AV7">
        <v>1.51269907669746</v>
      </c>
      <c r="AW7">
        <v>1.5115880763523799</v>
      </c>
      <c r="AX7">
        <v>1.51057392850022</v>
      </c>
      <c r="AY7">
        <v>1.50964825239119</v>
      </c>
      <c r="AZ7">
        <v>1.5088033704674799</v>
      </c>
      <c r="BA7">
        <v>1.5080322660347301</v>
      </c>
      <c r="BB7">
        <v>1.5073285324516501</v>
      </c>
      <c r="BC7">
        <v>1.50668631601548</v>
      </c>
      <c r="BD7">
        <v>1.5061002641004799</v>
      </c>
    </row>
    <row r="8" spans="1:56">
      <c r="A8">
        <v>1996</v>
      </c>
      <c r="B8">
        <v>0.94536545298261521</v>
      </c>
      <c r="C8">
        <v>3.6095913381807024E-2</v>
      </c>
    </row>
    <row r="9" spans="1:56">
      <c r="A9">
        <v>1997</v>
      </c>
      <c r="B9">
        <v>0.95196011175337303</v>
      </c>
      <c r="C9">
        <v>2.4985625706784087E-2</v>
      </c>
    </row>
    <row r="10" spans="1:56">
      <c r="A10">
        <v>1998</v>
      </c>
      <c r="B10">
        <v>0.96269220588114779</v>
      </c>
      <c r="C10">
        <v>1.6987842805411768E-2</v>
      </c>
    </row>
    <row r="11" spans="1:56">
      <c r="A11">
        <v>1999</v>
      </c>
      <c r="B11">
        <v>0.97738184774225578</v>
      </c>
      <c r="C11">
        <v>1.1029412880446371E-2</v>
      </c>
    </row>
    <row r="12" spans="1:56">
      <c r="A12">
        <v>2000</v>
      </c>
      <c r="B12">
        <v>0.99110012427326211</v>
      </c>
      <c r="C12">
        <v>4.3119130127066141E-3</v>
      </c>
    </row>
    <row r="13" spans="1:56">
      <c r="A13">
        <v>2001</v>
      </c>
      <c r="B13">
        <v>1.0016392024913661</v>
      </c>
      <c r="C13">
        <v>-3.2771865782267595E-3</v>
      </c>
    </row>
    <row r="14" spans="1:56">
      <c r="A14">
        <v>2002</v>
      </c>
      <c r="B14">
        <v>1.010107338060414</v>
      </c>
      <c r="C14">
        <v>-1.0265291679868505E-2</v>
      </c>
    </row>
    <row r="15" spans="1:56">
      <c r="A15">
        <v>2003</v>
      </c>
      <c r="B15">
        <v>1.02012446514344</v>
      </c>
      <c r="C15">
        <v>-1.302804956137546E-2</v>
      </c>
    </row>
    <row r="16" spans="1:56">
      <c r="A16">
        <v>2004</v>
      </c>
      <c r="B16">
        <v>1.0317197517796421</v>
      </c>
      <c r="C16">
        <v>-1.3938564113075619E-2</v>
      </c>
    </row>
    <row r="17" spans="1:3">
      <c r="A17">
        <v>2005</v>
      </c>
      <c r="B17">
        <v>1.0416153951085128</v>
      </c>
      <c r="C17">
        <v>-1.5747557929948447E-2</v>
      </c>
    </row>
    <row r="18" spans="1:3">
      <c r="A18">
        <v>2006</v>
      </c>
      <c r="B18">
        <v>1.0494778496391328</v>
      </c>
      <c r="C18">
        <v>-2.0830525356201196E-2</v>
      </c>
    </row>
    <row r="19" spans="1:3">
      <c r="A19">
        <v>2007</v>
      </c>
      <c r="B19">
        <v>1.0571477075789706</v>
      </c>
      <c r="C19">
        <v>-2.8900373652693906E-2</v>
      </c>
    </row>
    <row r="20" spans="1:3">
      <c r="A20">
        <v>2008</v>
      </c>
      <c r="B20">
        <v>1.0663534383297897</v>
      </c>
      <c r="C20">
        <v>-3.9587977135825847E-2</v>
      </c>
    </row>
    <row r="21" spans="1:3">
      <c r="A21">
        <v>2009</v>
      </c>
      <c r="B21">
        <v>1.076971222282223</v>
      </c>
      <c r="C21">
        <v>-5.1906740434662313E-2</v>
      </c>
    </row>
    <row r="22" spans="1:3">
      <c r="A22">
        <v>2010</v>
      </c>
      <c r="B22">
        <v>1.0862267768701139</v>
      </c>
      <c r="C22">
        <v>-6.4799361083134416E-2</v>
      </c>
    </row>
    <row r="23" spans="1:3">
      <c r="A23">
        <v>2011</v>
      </c>
      <c r="B23">
        <v>1.0933378724020917</v>
      </c>
      <c r="C23">
        <v>-7.4299951719372925E-2</v>
      </c>
    </row>
    <row r="24" spans="1:3">
      <c r="A24">
        <v>2012</v>
      </c>
      <c r="B24">
        <v>1.10036944947924</v>
      </c>
      <c r="C24">
        <v>-7.9291457852646574E-2</v>
      </c>
    </row>
    <row r="25" spans="1:3">
      <c r="A25">
        <v>2013</v>
      </c>
      <c r="B25">
        <v>1.1108219608047651</v>
      </c>
      <c r="C25">
        <v>-7.7508199342047474E-2</v>
      </c>
    </row>
    <row r="26" spans="1:3">
      <c r="A26">
        <v>2014</v>
      </c>
      <c r="B26">
        <v>1.1215765060527194</v>
      </c>
      <c r="C26">
        <v>-7.2811866828110333E-2</v>
      </c>
    </row>
    <row r="27" spans="1:3">
      <c r="A27">
        <v>2015</v>
      </c>
      <c r="B27">
        <v>1.1275648504477449</v>
      </c>
      <c r="C27">
        <v>-6.4943378205383873E-2</v>
      </c>
    </row>
    <row r="28" spans="1:3">
      <c r="A28">
        <v>2016</v>
      </c>
      <c r="B28">
        <v>1.1269116986443957</v>
      </c>
      <c r="C28">
        <v>-5.5990285283618407E-2</v>
      </c>
    </row>
    <row r="29" spans="1:3">
      <c r="A29">
        <v>2017</v>
      </c>
      <c r="B29">
        <v>1.1218588971576449</v>
      </c>
      <c r="C29">
        <v>-4.4601081061133863E-2</v>
      </c>
    </row>
    <row r="30" spans="1:3">
      <c r="A30">
        <v>2018</v>
      </c>
      <c r="B30">
        <v>1.1129398181466796</v>
      </c>
      <c r="C30">
        <v>-2.8829468971334232E-2</v>
      </c>
    </row>
    <row r="31" spans="1:3">
      <c r="A31">
        <v>2019</v>
      </c>
      <c r="B31">
        <v>1.0925145147195856</v>
      </c>
      <c r="C31">
        <v>-9.2253229804579728E-3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Bilogito</vt:lpstr>
      <vt:lpstr>Bilogito-valores</vt:lpstr>
      <vt:lpstr>Proyección TGF</vt:lpstr>
      <vt:lpstr>Proyección Bilogito</vt:lpstr>
      <vt:lpstr>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Nava Ruiz</dc:creator>
  <cp:keywords/>
  <dc:description/>
  <cp:lastModifiedBy>Microsoft Office User</cp:lastModifiedBy>
  <cp:revision/>
  <dcterms:created xsi:type="dcterms:W3CDTF">2021-11-10T03:57:01Z</dcterms:created>
  <dcterms:modified xsi:type="dcterms:W3CDTF">2026-06-10T02:18:18Z</dcterms:modified>
  <cp:category/>
  <cp:contentStatus/>
</cp:coreProperties>
</file>